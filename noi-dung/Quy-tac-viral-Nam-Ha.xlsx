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HONGHAI\GPMcode\noi-dung\"/>
    </mc:Choice>
  </mc:AlternateContent>
  <xr:revisionPtr revIDLastSave="0" documentId="13_ncr:1_{F40E4D7A-9084-4E0A-9E3D-98B16012B222}" xr6:coauthVersionLast="47" xr6:coauthVersionMax="47" xr10:uidLastSave="{00000000-0000-0000-0000-000000000000}"/>
  <bookViews>
    <workbookView xWindow="3720" yWindow="3720" windowWidth="21600" windowHeight="11385" xr2:uid="{00000000-000D-0000-FFFF-FFFF00000000}"/>
  </bookViews>
  <sheets>
    <sheet name="NAM HÀ" sheetId="1" r:id="rId1"/>
    <sheet name="Số liệu Nam Hà"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U43" i="2" l="1"/>
  <c r="S43" i="2"/>
  <c r="R43" i="2"/>
  <c r="P43" i="2"/>
  <c r="L43" i="2"/>
  <c r="K43" i="2"/>
  <c r="J43" i="2"/>
  <c r="I43" i="2"/>
  <c r="H43" i="2"/>
  <c r="B43" i="2"/>
  <c r="U42" i="2"/>
  <c r="S42" i="2"/>
  <c r="R42" i="2"/>
  <c r="P42" i="2"/>
  <c r="L42" i="2"/>
  <c r="K42" i="2"/>
  <c r="J42" i="2"/>
  <c r="I42" i="2"/>
  <c r="H42" i="2"/>
  <c r="B42" i="2"/>
  <c r="U41" i="2"/>
  <c r="S41" i="2"/>
  <c r="R41" i="2"/>
  <c r="P41" i="2"/>
  <c r="L41" i="2"/>
  <c r="K41" i="2"/>
  <c r="J41" i="2"/>
  <c r="I41" i="2"/>
  <c r="H41" i="2"/>
  <c r="B41" i="2"/>
  <c r="U40" i="2"/>
  <c r="S40" i="2"/>
  <c r="R40" i="2"/>
  <c r="P40" i="2"/>
  <c r="L40" i="2"/>
  <c r="K40" i="2"/>
  <c r="J40" i="2"/>
  <c r="I40" i="2"/>
  <c r="H40" i="2"/>
  <c r="B40" i="2"/>
  <c r="U39" i="2"/>
  <c r="S39" i="2"/>
  <c r="R39" i="2"/>
  <c r="P39" i="2"/>
  <c r="L39" i="2"/>
  <c r="K39" i="2"/>
  <c r="J39" i="2"/>
  <c r="I39" i="2"/>
  <c r="H39" i="2"/>
  <c r="B39" i="2"/>
  <c r="U38" i="2"/>
  <c r="S38" i="2"/>
  <c r="R38" i="2"/>
  <c r="P38" i="2"/>
  <c r="L38" i="2"/>
  <c r="K38" i="2"/>
  <c r="J38" i="2"/>
  <c r="I38" i="2"/>
  <c r="H38" i="2"/>
  <c r="B38" i="2"/>
  <c r="Q34" i="2"/>
  <c r="O34" i="2"/>
  <c r="N34" i="2"/>
  <c r="M34" i="2"/>
  <c r="Q33" i="2"/>
  <c r="O33" i="2"/>
  <c r="N33" i="2"/>
  <c r="M33" i="2"/>
  <c r="Q32" i="2"/>
  <c r="O32" i="2"/>
  <c r="N32" i="2"/>
  <c r="M32" i="2"/>
  <c r="Q31" i="2"/>
  <c r="O31" i="2"/>
  <c r="N31" i="2"/>
  <c r="N42" i="2" s="1"/>
  <c r="M31" i="2"/>
  <c r="M42" i="2" s="1"/>
  <c r="Q30" i="2"/>
  <c r="O30" i="2"/>
  <c r="N30" i="2"/>
  <c r="M30" i="2"/>
  <c r="Q29" i="2"/>
  <c r="O29" i="2"/>
  <c r="N29" i="2"/>
  <c r="M29" i="2"/>
  <c r="Q28" i="2"/>
  <c r="O28" i="2"/>
  <c r="N28" i="2"/>
  <c r="M28" i="2"/>
  <c r="Q27" i="2"/>
  <c r="O27" i="2"/>
  <c r="N27" i="2"/>
  <c r="M27" i="2"/>
  <c r="Q26" i="2"/>
  <c r="O26" i="2"/>
  <c r="N26" i="2"/>
  <c r="M26" i="2"/>
  <c r="Q25" i="2"/>
  <c r="O25" i="2"/>
  <c r="N25" i="2"/>
  <c r="M25" i="2"/>
  <c r="Q24" i="2"/>
  <c r="O24" i="2"/>
  <c r="N24" i="2"/>
  <c r="M24" i="2"/>
  <c r="Q23" i="2"/>
  <c r="O23" i="2"/>
  <c r="N23" i="2"/>
  <c r="M23" i="2"/>
  <c r="Q22" i="2"/>
  <c r="O22" i="2"/>
  <c r="N22" i="2"/>
  <c r="M22" i="2"/>
  <c r="Q21" i="2"/>
  <c r="O21" i="2"/>
  <c r="N21" i="2"/>
  <c r="N40" i="2" s="1"/>
  <c r="M21" i="2"/>
  <c r="Q20" i="2"/>
  <c r="Q40" i="2" s="1"/>
  <c r="O20" i="2"/>
  <c r="N20" i="2"/>
  <c r="M20" i="2"/>
  <c r="Q19" i="2"/>
  <c r="O19" i="2"/>
  <c r="N19" i="2"/>
  <c r="M19" i="2"/>
  <c r="M40" i="2" s="1"/>
  <c r="Q18" i="2"/>
  <c r="O18" i="2"/>
  <c r="N18" i="2"/>
  <c r="M18" i="2"/>
  <c r="Q17" i="2"/>
  <c r="O17" i="2"/>
  <c r="N17" i="2"/>
  <c r="M17" i="2"/>
  <c r="Q16" i="2"/>
  <c r="O16" i="2"/>
  <c r="N16" i="2"/>
  <c r="M16" i="2"/>
  <c r="Q15" i="2"/>
  <c r="O15" i="2"/>
  <c r="N15" i="2"/>
  <c r="M15" i="2"/>
  <c r="Q14" i="2"/>
  <c r="O14" i="2"/>
  <c r="N14" i="2"/>
  <c r="M14" i="2"/>
  <c r="Q13" i="2"/>
  <c r="O13" i="2"/>
  <c r="N13" i="2"/>
  <c r="M13" i="2"/>
  <c r="Q12" i="2"/>
  <c r="O12" i="2"/>
  <c r="N12" i="2"/>
  <c r="N39" i="2" s="1"/>
  <c r="M12" i="2"/>
  <c r="Q11" i="2"/>
  <c r="O11" i="2"/>
  <c r="N11" i="2"/>
  <c r="M11" i="2"/>
  <c r="Q10" i="2"/>
  <c r="O10" i="2"/>
  <c r="N10" i="2"/>
  <c r="M10" i="2"/>
  <c r="Q9" i="2"/>
  <c r="O9" i="2"/>
  <c r="N9" i="2"/>
  <c r="M9" i="2"/>
  <c r="Q8" i="2"/>
  <c r="O8" i="2"/>
  <c r="N8" i="2"/>
  <c r="M8" i="2"/>
  <c r="Q7" i="2"/>
  <c r="O7" i="2"/>
  <c r="N7" i="2"/>
  <c r="M7" i="2"/>
  <c r="Q6" i="2"/>
  <c r="O6" i="2"/>
  <c r="N6" i="2"/>
  <c r="N38" i="2" s="1"/>
  <c r="M6" i="2"/>
  <c r="M43" i="2" s="1"/>
  <c r="Q5" i="2"/>
  <c r="O5" i="2"/>
  <c r="O43" i="2" s="1"/>
  <c r="N5" i="2"/>
  <c r="M5" i="2"/>
  <c r="D20" i="1"/>
  <c r="D19" i="1"/>
  <c r="D18" i="1"/>
  <c r="D17" i="1"/>
  <c r="D16" i="1"/>
  <c r="D15" i="1"/>
  <c r="D13" i="1"/>
  <c r="D10" i="1"/>
  <c r="D9" i="1"/>
  <c r="D8" i="1"/>
  <c r="M41" i="2" l="1"/>
  <c r="O40" i="2"/>
  <c r="N43" i="2"/>
  <c r="N41" i="2"/>
  <c r="O42" i="2"/>
  <c r="O38" i="2"/>
  <c r="O39" i="2"/>
  <c r="O41" i="2"/>
  <c r="Q38" i="2"/>
  <c r="Q39" i="2"/>
  <c r="Q41" i="2"/>
  <c r="Q42" i="2"/>
  <c r="D12" i="1"/>
  <c r="M38" i="2"/>
  <c r="M39" i="2"/>
  <c r="D14" i="1"/>
  <c r="Q43" i="2"/>
  <c r="D11" i="1"/>
</calcChain>
</file>

<file path=xl/sharedStrings.xml><?xml version="1.0" encoding="utf-8"?>
<sst xmlns="http://schemas.openxmlformats.org/spreadsheetml/2006/main" count="884" uniqueCount="601">
  <si>
    <t>THẺ QUY TẮC VIRAL · KÊNH HEALTH COACH NAM HÀ</t>
  </si>
  <si>
    <t>Rút từ 30 video Nam Hà nói trực tiếp (facebook.com/Healthcoachnamha, 1 triệu theo dõi), chọn từ 950 Reels gần nhất theo lượt xem; đã loại video chữ và video chữ gắn mặt. Đo ngày 08/10/2026. Số liệu từng video, dàn ý theo giây và bài học ở sheet "Số liệu Nam Hà".</t>
  </si>
  <si>
    <t>SỐ CHÍNH</t>
  </si>
  <si>
    <t>#</t>
  </si>
  <si>
    <t>Chỉ số</t>
  </si>
  <si>
    <t>Giá trị</t>
  </si>
  <si>
    <t>Ghi chú</t>
  </si>
  <si>
    <t>Video đã phân tích</t>
  </si>
  <si>
    <t>30 video</t>
  </si>
  <si>
    <t>Nam Hà nói trực tiếp, lấy theo lượt xem cao nhất. Gồm 6 danh sách ngắn, 8 bài tập làm mẫu, 7 mẹo/giảng 1–3 phút, 5 video có bán, 4 video dài.</t>
  </si>
  <si>
    <t>Bối cảnh toàn kênh</t>
  </si>
  <si>
    <t>8/100</t>
  </si>
  <si>
    <t>Số video Nam Hà nói trong 100 video nhiều view nhất của kênh. 92 video còn lại là video chữ (cao nhất 9,2 triệu). Người nói là định dạng xây tin và bán hàng của kênh, không phải định dạng kéo view lớn nhất.</t>
  </si>
  <si>
    <t>Trung vị lượt xem · 30 video</t>
  </si>
  <si>
    <t>Video thấp nhất trong 30 video: 138K.</t>
  </si>
  <si>
    <t>Video lớn nhất</t>
  </si>
  <si>
    <t>Khắc tinh của bệnh tật · 0:25 · 03/10/2026 · 4,9K chia sẻ. Đạt 2,1 triệu chỉ sau 5 ngày.</t>
  </si>
  <si>
    <t>Trung vị lượt xem theo dạng</t>
  </si>
  <si>
    <t>Hai dạng thắng: bài tập làm mẫu và danh sách nhanh dưới 1 phút. Mẹo/giảng 1–3 phút không có danh sách nhanh hay làm mẫu thì thấp nhất.</t>
  </si>
  <si>
    <t>Chia sẻ / cảm xúc theo dạng</t>
  </si>
  <si>
    <t>Bài tập là thứ người xem lưu và gửi cho người nhà nhiều nhất. Video có bán gần như không được chia sẻ (video bán thuần: 18 chia sẻ).</t>
  </si>
  <si>
    <t>Bình luận / 1.000 lượt xem cao nhất</t>
  </si>
  <si>
    <t>"3 sai lầm khi ăn trái cây" 5,4 (luận điểm ngược đám đông) và "Ai vòng bụng trên 80cm" 4,6 (gọi đích danh bằng số đo).</t>
  </si>
  <si>
    <t>Độ dài trung vị · 26 video ngắn</t>
  </si>
  <si>
    <t>Danh sách nhanh 25–60 giây; bài tập 1:14–2:37; 4 video dài 11–16 phút vẫn đạt 159K–376K.</t>
  </si>
  <si>
    <t>Nhịp danh sách nhanh</t>
  </si>
  <si>
    <t>Mỗi ý chỉ một câu + một sticker; không giải thích.</t>
  </si>
  <si>
    <t>Thân bài đánh số</t>
  </si>
  <si>
    <t>"Thứ nhất / Động tác 1" hiện bằng chữ vàng.</t>
  </si>
  <si>
    <t>Con số trong tiêu đề hoặc caption</t>
  </si>
  <si>
    <t>Số ý, số phút, số đo, mốc tuổi.</t>
  </si>
  <si>
    <t>Kết bằng câu chào chữ ký</t>
  </si>
  <si>
    <t>"Biết ơn và sớm hẹn gặp lại, xin chào!" + vẫy tay: nhận diện bằng âm thanh.</t>
  </si>
  <si>
    <t>Có nhắc sản phẩm</t>
  </si>
  <si>
    <t>Sữa hạt ngũ cốc và dầu tràm, luôn đặt ở cuối video hoặc làm ý cuối của danh sách.</t>
  </si>
  <si>
    <t>Cụm đau lưng – vai gáy</t>
  </si>
  <si>
    <t>Cùng một khuôn quay, đổi động tác, áo, bối cảnh. Video thấp nhất cụm vẫn 265K.</t>
  </si>
  <si>
    <t>Video mới</t>
  </si>
  <si>
    <t>4/5 video người nói lớn nhất nằm trong nhóm này: kênh đang ở giai đoạn đà lên của dạng bài tập.</t>
  </si>
  <si>
    <t>A. BỘ QUY TẮC VIRAL</t>
  </si>
  <si>
    <t>Mức độ: Bắt buộc = làm ở mọi video · Nên = làm khi phù hợp · Thử nghiệm = chạy thử nhỏ, đo rồi mới nhân rộng (DNA quyết định 129–130). Page nội dung được dùng hook mạnh, nhưng luôn giữ 5 lằn ranh sự thật ở sheet "Luật chung" của file phân vai 14 page.</t>
  </si>
  <si>
    <t>Nhóm</t>
  </si>
  <si>
    <t>Quy tắc</t>
  </si>
  <si>
    <t>Làm thế nào</t>
  </si>
  <si>
    <t>Bằng chứng từ kênh Nam Hà</t>
  </si>
  <si>
    <t>Áp dụng cho Bác sĩ Hội</t>
  </si>
  <si>
    <t>Mức độ</t>
  </si>
  <si>
    <t>Định dạng</t>
  </si>
  <si>
    <t>Người nói trực tiếp, nhìn thẳng máy, khung ngang ngực, tay diễn liên tục</t>
  </si>
  <si>
    <t>Mic cài áo, cười, tay đếm số theo ý và chỉ sang sticker. Mặt luôn nằm ở 1/3 giữa khung.</t>
  </si>
  <si>
    <t>30/30 video. Lớn nhất 2,1 triệu; 8 video vượt 700K.</t>
  </si>
  <si>
    <t>Bác sĩ Hội nói trực tiếp, giọng 70% chuyên gia, 30% gần gũi (DNA ch.8). Dùng tay đếm "thứ nhất, thứ hai" để người xem bám nhịp.</t>
  </si>
  <si>
    <t>Bắt buộc</t>
  </si>
  <si>
    <t>Chủ đề</t>
  </si>
  <si>
    <t>Vấn đề cơ thể ai cũng có + cách tự làm tại nhà</t>
  </si>
  <si>
    <t>Đau lưng, vai gáy, mệt mỏi, mất ngủ, vòng bụng, ăn gì – kiêng gì, uống nước, thói quen buổi sáng. Không nói về thuốc, xét nghiệm, ca hiếm.</t>
  </si>
  <si>
    <t>30/30 video là vấn đề phổ thông kèm việc làm được ngay; không video nào nói về thuốc hay xét nghiệm.</t>
  </si>
  <si>
    <t>Chọn vấn đề tiêu hóa phổ thông: đầy hơi sau ăn (P3, P7), ợ chua đêm (P1), ăn tối muộn, bữa sáng (P8), ngồi lâu (P10), mất ngủ – stress (P12).</t>
  </si>
  <si>
    <t>Cụm chủ đề</t>
  </si>
  <si>
    <t>Khi một chủ đề nổ, làm cả cụm bằng cùng một khuôn</t>
  </si>
  <si>
    <t>Giữ khuôn quay và cấu trúc; đổi động tác, góc đau, áo, bối cảnh. Làm thêm một bản dài cho chủ đề đó.</t>
  </si>
  <si>
    <t>Cụm đau lưng – vai gáy 7 video, từ 265K đến 1,5 triệu. Tiền đình: bản 74 giây 201K + bản 11 phút 159K.</t>
  </si>
  <si>
    <t>Video vượt 2 lần trung vị page → làm cụm 5–8 video trong lãnh thổ page đó (Luật chung 6). Mỗi video quay mới (Luật chung 1–2).</t>
  </si>
  <si>
    <t>Quay lại chủ đề đã thắng sau vài tháng bằng kịch bản mới</t>
  </si>
  <si>
    <t>Giữ dàn ý, viết lại câu, đổi số ý, quay mới.</t>
  </si>
  <si>
    <t>"5 việc sáng sớm" (4/2025, 289K) → "4 điều sáng sớm" (1/2026, 194K, 696 bình luận), dùng lại cả câu chữ đắt.</t>
  </si>
  <si>
    <t>Luật chung 2: không đăng lại file cũ; được làm lại ý tưởng với hook mới, ghi vào Sổ chủ đề.</t>
  </si>
  <si>
    <t>Nên</t>
  </si>
  <si>
    <t>Tiêu đề</t>
  </si>
  <si>
    <t>Box tiêu đề chữ hoa 2–3 dòng ngay khung đầu, đồng thời là ảnh bìa</t>
  </si>
  <si>
    <t>Chữ trắng/vàng trên nền xanh, đặt ngang ngực, giữ 2–3 giây. Video dài: thanh tiêu đề cố định trên và dưới suốt video.</t>
  </si>
  <si>
    <t>24/26 video ngắn mở bằng box; 2 video còn lại vào thẳng ý 1 bằng chữ vàng. 4/4 video dài dùng thanh tiêu đề cố định.</t>
  </si>
  <si>
    <t>Màu box theo nhận diện từng page (Luật chung 3).</t>
  </si>
  <si>
    <t>Công thức: [vấn đề / đối tượng] + [kết quả có hình ảnh] + [dễ làm]</t>
  </si>
  <si>
    <t>Kết quả nhìn thấy được ("eo con kiến", "60 tuổi cũng chẳng già") + "đơn giản / tại nhà / nhà nào cũng cần / rẻ như cho".</t>
  </si>
  <si>
    <t>709K lá ổi "eo con kiến"; 381K "60 tuổi cũng chẳng già"; 477K mẹo muỗi "nhà nào cũng cần".</t>
  </si>
  <si>
    <t>Kết quả phải là lợi ích có thật, không hứa khỏi (lằn ranh 3): "bụng nhẹ hẳn sau bữa tối", "ngủ một mạch tới sáng". Xem mục C.</t>
  </si>
  <si>
    <t>Có con số trong tiêu đề hoặc caption</t>
  </si>
  <si>
    <t>Số ý (3 động tác, 4 việc), số phút (15 phút), số đo (80cm), mốc tuổi (60 tuổi), lượng nhỏ (2 miếng).</t>
  </si>
  <si>
    <t>21/30 video.</t>
  </si>
  <si>
    <t>Công thức 34–39 DNA ch.14.11. Con số phải thật (lằn ranh 1).</t>
  </si>
  <si>
    <t>Hook lời</t>
  </si>
  <si>
    <t>Giây 0–3: nhắc lại tiêu đề hoặc nói ngay ý 1. Không chào, không giới thiệu</t>
  </si>
  <si>
    <t>Câu đầu tiên chính là tiêu đề, kèm chữ vàng và sticker bật ra.</t>
  </si>
  <si>
    <t>Video 2,1 triệu vào ý 1 ở giây 0,3. Không video ngắn nào mở bằng lời chào (theo phụ đề).</t>
  </si>
  <si>
    <t>Hook 3 tầng DNA 14.25 nén vào 3 giây: gọi đúng tình trạng → mâu thuẫn → lời hứa.</t>
  </si>
  <si>
    <t>Mở bằng việc sai mà ai cũng đang làm, diễn lại trước máy</t>
  </si>
  <si>
    <t>Diễn lại động tác sai ("đừng có đấm như thế này nữa"), rồi một câu vì sao làm mãi không hết.</t>
  </si>
  <si>
    <t>4 video bài tập lớn nhất đều mở kiểu này: 1,5 triệu · 1,2 triệu · 987K · 728K.</t>
  </si>
  <si>
    <t>"Đừng ngả lưng ra ghế ngay sau bữa tối nữa", "ợ chua mà cứ nằm xuống ngay" (P1, P3). Không trách người bệnh (DNA 14.34 mục 9).</t>
  </si>
  <si>
    <t>Hạ rào cản ngay sau hook</t>
  </si>
  <si>
    <t>"Không cần tới phòng tập", "tập mọi lúc mọi nơi", "không cần khởi động", "vài nguyên liệu trong bếp", "rẻ như cho", "chưa đầy 2 phút".</t>
  </si>
  <si>
    <t>13/30 video có câu hạ rào cản trong 20 giây đầu.</t>
  </si>
  <si>
    <t>"Không cần kiêng khổ sở", "làm ngay trong bếp nhà mình", "ngồi ở bàn làm việc cũng làm được" (P8, P10).</t>
  </si>
  <si>
    <t>Gọi đích danh người xem bằng một con số họ tự đo được</t>
  </si>
  <si>
    <t>"Ai [số đo / số năm / giờ giấc] đừng bỏ lỡ video này".</t>
  </si>
  <si>
    <t>"Ai vòng bụng trên 80cm": 1,4K bình luận, 4,6 bình luận/1.000 lượt xem.</t>
  </si>
  <si>
    <t>"Ai uống thuốc dạ dày trên 3 tháng…" (P13), "Ai hay ăn tối sau 8 giờ…" (P1). Công thức DNA 14.19.</t>
  </si>
  <si>
    <t>Thử nghiệm</t>
  </si>
  <si>
    <t>Vay uy tín trong 10 giây đầu</t>
  </si>
  <si>
    <t>Tục ngữ, "theo Đông y", "khoa học đã ghi nhận", chuỗi số liệu giải phẫu.</t>
  </si>
  <si>
    <t>"Ngạn ngữ Trung Hoa có câu…" 539K; tục ngữ thắt lưng 305K; "bắp chân là trái tim thứ hai… 26 xương, 30 khớp".</t>
  </si>
  <si>
    <t>Bác sĩ Hội có uy tín thật: "Ở phòng khám tôi gặp rất nhiều…", "theo y học cổ truyền…" khi có cơ sở. Số liệu phải có nguồn (lằn ranh 1).</t>
  </si>
  <si>
    <t>Kịch bản</t>
  </si>
  <si>
    <t>Thân bài là danh sách đánh số, mỗi ý một nhịp</t>
  </si>
  <si>
    <t>Tên ý bằng chữ vàng + 1–2 câu lợi ích. Danh sách nhanh 2–4 giây/ý; danh sách giải thích 15–25 giây/ý.</t>
  </si>
  <si>
    <t>22/30 video có thân bài đánh số. Video 2,1 triệu: 11 ý trong 25 giây; 670K: 7 ý trong 28 giây.</t>
  </si>
  <si>
    <t>Mỗi ý = một việc làm cụ thể (DNA ch.8.5 bước 5).</t>
  </si>
  <si>
    <t>Dạng "vấn đề X: sợ nhất Y" – danh sách cặp siêu nhanh</t>
  </si>
  <si>
    <t>8–16 cặp, mỗi cặp 1 câu + 1 sticker, 25–45 giây, không dẫn, không giải thích.</t>
  </si>
  <si>
    <t>2,1 triệu (11 cặp bệnh – thực phẩm, 4,9K chia sẻ); 433K (triệu chứng ↔ chất thiếu).</t>
  </si>
  <si>
    <t>"Đầy hơi: sợ nhất đi bộ chậm sau ăn", "ợ chua đêm: sợ nhất ăn tối sớm" (P8, P1). Từng cặp phải đúng chuyên môn, bác sĩ duyệt cả danh sách.</t>
  </si>
  <si>
    <t>Bài tập làm mẫu: tên động tác → làm mẫu → số lần → lợi ích → hình 3D vùng đau</t>
  </si>
  <si>
    <t>3–5 động tác; mỗi động tác "50–100 lần" hoặc "giữ, hít thở 1–2 phút"; chèn b-roll 3D giữa các động tác.</t>
  </si>
  <si>
    <t>8 video bài tập: trung vị 617K, chia sẻ/cảm xúc cao nhất các dạng.</t>
  </si>
  <si>
    <t>Động tác cho tiêu hóa: thở bụng, xoa bụng theo chiều kim đồng hồ, đi bộ chậm sau ăn, tư thế nằm nghiêng trái (P1, P7, P12). Bác sĩ duyệt từng động tác.</t>
  </si>
  <si>
    <t>Vòng tò mò: giấu đáp án đến giữa video</t>
  </si>
  <si>
    <t>Không nói tên "1 loại nước", "1 động tác" ngay; giải thích vì sao quan trọng trước.</t>
  </si>
  <si>
    <t>"1 loại nước… gan": cách làm lộ ở giây 54/84 → 682 bình luận. "1 động tác trên giường": làm mẫu ở phút 9/11.</t>
  </si>
  <si>
    <t>Hook khoảng trống thông tin (DNA 14.16). Đáp án phải xứng đáng, không câu giờ bằng nỗi sợ.</t>
  </si>
  <si>
    <t>Ví von và khẩu ngữ dí dỏm</t>
  </si>
  <si>
    <t>"Bắp chân như máy bơm", "như lớp vữa trát", "gan là nội tạng đáng thương nhất", "lắc tới 2030", "9 giờ tối là díp cả mắt".</t>
  </si>
  <si>
    <t>Có ở 4 video bài tập lớn nhất và hầu hết video giảng.</t>
  </si>
  <si>
    <t>Ví von DNA ch.8.5: cơ vòng như cánh cửa, dạ dày như túi bị bơm căng, đường ruột như khu vườn vi sinh.</t>
  </si>
  <si>
    <t>Hình ảnh</t>
  </si>
  <si>
    <t>Sticker minh họa bật cạnh mặt cho từng ý + b-roll chen 20–50% thời lượng</t>
  </si>
  <si>
    <t>Sticker hoạt hình (cơ quan, món ăn, biển STOP) ngang ngực; b-roll ảnh AI, stock, 3D giải phẫu; ảnh chụp bình luận khách.</t>
  </si>
  <si>
    <t>Có ở mọi video ngắn.</t>
  </si>
  <si>
    <t>Dựng bằng skill ds-video-vertical (thẻ chữ, b-roll, dải bối cảnh).</t>
  </si>
  <si>
    <t>Bối cảnh thiên nhiên sáng, áo sáng màu</t>
  </si>
  <si>
    <t>Vườn, ao, bãi cỏ, nắng tự nhiên; trong nhà thì kệ gỗ có nút bạc YouTube. Bài tập: thảm, chân trần, áo ba lỗ.</t>
  </si>
  <si>
    <t>25/30 video quay ngoài trời.</t>
  </si>
  <si>
    <t>Theo mục "Nhận diện" từng page; quay phông xanh rồi ghép nền vườn cho page đời sống (P8, P12).</t>
  </si>
  <si>
    <t>Dựng</t>
  </si>
  <si>
    <t>Khung 3 lớp chữ: box tiêu đề → phụ đề trắng đầy đủ → từ khóa chữ vàng; dải xanh 1/3 dưới</t>
  </si>
  <si>
    <t>Phụ đề nằm trên dải nền xanh mờ dần, mặt luôn hở; logo kênh góc phải trên.</t>
  </si>
  <si>
    <t>Mọi video ngắn.</t>
  </si>
  <si>
    <t>Giữ cấu trúc, đổi màu theo page.</t>
  </si>
  <si>
    <t>Độ dài</t>
  </si>
  <si>
    <t>Ba khung: 25–60 giây · 90–160 giây · 11–16 phút</t>
  </si>
  <si>
    <t>Ngắn: một mạch danh sách. Vừa: 3–5 ý có làm mẫu. Dài: thanh tiêu đề cố định, nói chuyện kiểu podcast.</t>
  </si>
  <si>
    <t>Trung vị lượt xem: bài tập 617K · danh sách ≤60 giây 592K · dài 308K · mẹo/giảng 1–3 phút 213K.</t>
  </si>
  <si>
    <t>Bắt đầu bằng 25–40 giây (danh sách nhanh) và 90–150 giây (bài tập). Bản dài 10–15 phút chỉ chạy thử ở P0, P13.</t>
  </si>
  <si>
    <t>Lời mời</t>
  </si>
  <si>
    <t>Kết bằng chuỗi cố định: lưu → lan tỏa → theo dõi → câu chào chữ ký</t>
  </si>
  <si>
    <t>"Nhớ lưu về áp dụng khi cần · đừng quên lan tỏa để giúp thêm nhiều người khỏe · nhớ bấm theo dõi · biết ơn và hẹn gặp lại" + vẫy tay.</t>
  </si>
  <si>
    <t>Câu chào chữ ký ở 12/30 video; mời lưu, lan tỏa hoặc theo dõi ở 11/30.</t>
  </si>
  <si>
    <t>Mỗi page một câu chào cố định (Luật chung 3). Thêm một câu hỏi bình luận trả lời được trong một dòng (thẻ Lê Xuân Hải, quy tắc 16).</t>
  </si>
  <si>
    <t>Bán hàng</t>
  </si>
  <si>
    <t>Sản phẩm là ý cuối của danh sách giá trị, không làm video bán riêng</t>
  </si>
  <si>
    <t>3 ý miễn phí → ý 4 là sản phẩm → ảnh chụp bình luận khách → "ai chưa có thì nhắn".</t>
  </si>
  <si>
    <t>700K (sữa hạt là ý 4, 2K bình luận); 477K (dầu tràm sau mẹo đuổi muỗi). Video bán thuần: 149K, 18 chia sẻ.</t>
  </si>
  <si>
    <t>Ý cuối là lời mời tư vấn liên quan thẳng tới nội dung (DNA 8.13: không chèn bán đột ngột). Chỉ dùng ở page hoặc ngày BOFU; không hứa khỏi.</t>
  </si>
  <si>
    <t>Caption</t>
  </si>
  <si>
    <t>Caption nhắc lại tiêu đề; né từ nhạy cảm bằng dấu</t>
  </si>
  <si>
    <t>"b;ệnh", "đ;ột quỵ", "th;uốc", "t.ử v.ong", "b.é.o phì".</t>
  </si>
  <si>
    <t>Thấy ở 6 video.</t>
  </si>
  <si>
    <t>Dùng cho caption và phụ đề khi nhắc các từ dễ bị Facebook hạ phân phối.</t>
  </si>
  <si>
    <t>Đăng</t>
  </si>
  <si>
    <t>Đăng dày khi dạng video đang lên</t>
  </si>
  <si>
    <t>Khi một khuôn bắt đầu vượt trung vị, ra liên tục video cùng khuôn trong vài tuần.</t>
  </si>
  <si>
    <t>8/30 video đăng từ 15/08/2026, gồm 4/5 video người nói lớn nhất. Video 2,1 triệu chỉ 5 ngày sau đăng.</t>
  </si>
  <si>
    <t>Nhịp A/B/C theo Luật chung.</t>
  </si>
  <si>
    <t>Không chép</t>
  </si>
  <si>
    <t>Những điểm của kênh này Bác sĩ Hội không dùng</t>
  </si>
  <si>
    <t>Từ thần thánh hóa ("thần kỳ", "chữa lành mọi tổn thương", "hiệu quả tức thì", "tốt nhất"); phần trăm không nguồn ("cải thiện 50–80%"); luận điểm sai ("trái cây không hạt là biến đổi gen", "lọc sạch gan"); "hàng ngàn người hiệu quả vượt mong đợi"; chê sản phẩm đối thủ.</t>
  </si>
  <si>
    <t>Có ở 10/30 video phân tích.</t>
  </si>
  <si>
    <t>DNA ch.8.8 và 14.34; lằn ranh 1, 3. Thay bằng lợi ích cụ thể có thật.</t>
  </si>
  <si>
    <t>Tránh</t>
  </si>
  <si>
    <t>Những thứ kéo video xuống ở kênh này</t>
  </si>
  <si>
    <t>Video chỉ bán hàng; giảng 1–3 phút không có danh sách nhanh hay làm mẫu; lợi ích dồn quá nhiều làm mất tin.</t>
  </si>
  <si>
    <t>Video bán thuần 149K, 18 chia sẻ. Nhóm mẹo/giảng 1–3 phút: trung vị 213K, thấp nhất 5 dạng.</t>
  </si>
  <si>
    <t>Soát bằng mục D trước khi đăng.</t>
  </si>
  <si>
    <t>B1. KHUNG DANH SÁCH NHANH 25–40 GIÂY (8–11 ý, 2–4 giây mỗi ý)</t>
  </si>
  <si>
    <t>Theo video 2,1 triệu và 670K. Mẫu: "Khắc tinh của dạ dày yếu" (P8). Bác sĩ duyệt từng cặp trước khi quay.</t>
  </si>
  <si>
    <t>Giây</t>
  </si>
  <si>
    <t>Phần</t>
  </si>
  <si>
    <t>Việc phải làm</t>
  </si>
  <si>
    <t>Cách kênh Nam Hà làm</t>
  </si>
  <si>
    <t>Mẫu cho Bác sĩ Hội</t>
  </si>
  <si>
    <t>Độ dài lời</t>
  </si>
  <si>
    <t>0–2 giây</t>
  </si>
  <si>
    <t>Box tiêu đề + ý 1</t>
  </si>
  <si>
    <t>Không chào. Ảnh bìa là box tiêu đề. Nói ngay ý 1, sticker bật ra.</t>
  </si>
  <si>
    <t>Giây 0,3 đã là ý 1 "Mắt mờ: sợ nhất cà rốt".</t>
  </si>
  <si>
    <t>Box: "KHẮC TINH CỦA DẠ DÀY YẾU – ÍT AI ĐỂ Ý". Lời: "Đầy hơi: sợ nhất đi bộ chậm 10 phút sau ăn."</t>
  </si>
  <si>
    <t>8–12 tiếng</t>
  </si>
  <si>
    <t>2–28 giây</t>
  </si>
  <si>
    <t>Ý 2 → ý 9</t>
  </si>
  <si>
    <t>Mỗi ý một câu cùng khuôn, sticker bên trái, tay chỉ sang.</t>
  </si>
  <si>
    <t>11 ý, khoảng 2,3 giây/ý, mỗi ý một sticker.</t>
  </si>
  <si>
    <t>"Ợ chua đêm: sợ nhất ăn tối trước 7 giờ. Táo bón: sợ nhất rau xanh và đủ nước…"</t>
  </si>
  <si>
    <t>8–12 tiếng/ý</t>
  </si>
  <si>
    <t>28–35 giây</t>
  </si>
  <si>
    <t>Lưu + gửi người nhà + một câu hỏi bình luận.</t>
  </si>
  <si>
    <t>"Cả nhà nhớ lưu lại và lan tỏa…"</t>
  </si>
  <si>
    <t>"Lưu lại, gửi cho người nhà hay đau dạ dày. Cô chú đang bị cái nào? Comment cho tôi biết."</t>
  </si>
  <si>
    <t>20–25 tiếng</t>
  </si>
  <si>
    <t>35–38 giây</t>
  </si>
  <si>
    <t>Câu chào chữ ký</t>
  </si>
  <si>
    <t>Vẫy tay + câu chào cố định của page.</t>
  </si>
  <si>
    <t>"Biết ơn và xin chào!"</t>
  </si>
  <si>
    <t>Câu chào cố định của page (Luật chung 3).</t>
  </si>
  <si>
    <t>5–8 tiếng</t>
  </si>
  <si>
    <t>B2. KHUNG BÀI TẬP LÀM MẪU 90–150 GIÂY (3–5 động tác)</t>
  </si>
  <si>
    <t>Theo cụm đau lưng – vai gáy (987K–1,5 triệu). Mẫu: "3 động tác cho bụng hay đầy hơi sau bữa tối" (P7 hoặc P3). Bác sĩ duyệt động tác.</t>
  </si>
  <si>
    <t>0–3 giây</t>
  </si>
  <si>
    <t>Box + diễn nỗi khó chịu</t>
  </si>
  <si>
    <t>Tay đặt lên vùng khó chịu; box tiêu đề hiện ngay.</t>
  </si>
  <si>
    <t>Tay ôm lưng hoặc xoa cổ + box.</t>
  </si>
  <si>
    <t>Tay xoa bụng căng; box "BỤNG ĐẦY HƠI SAU ĂN – LÀM NGAY 3 ĐỘNG TÁC NÀY".</t>
  </si>
  <si>
    <t>—</t>
  </si>
  <si>
    <t>3–12 giây</t>
  </si>
  <si>
    <t>Việc sai ai cũng làm</t>
  </si>
  <si>
    <t>Diễn lại thói quen sai, nói vì sao làm mãi không đỡ.</t>
  </si>
  <si>
    <t>"Đừng có đấm như thế này nữa… đấm tới 2030 cũng không hết."</t>
  </si>
  <si>
    <t>"Đừng ngả lưng ra ghế ngay sau bữa tối nữa. Nằm vậy tới sáng bụng vẫn căng."</t>
  </si>
  <si>
    <t>20–30 tiếng</t>
  </si>
  <si>
    <t>12–20 giây</t>
  </si>
  <si>
    <t>Gốc vấn đề + hình 3D</t>
  </si>
  <si>
    <t>Một câu cơ chế, chèn hình 3D vùng đó.</t>
  </si>
  <si>
    <t>Gốc là nhóm cơ vai gáy, áp lực lên đốt sống cổ (3D).</t>
  </si>
  <si>
    <t>"Hơi và thức ăn ứ lại khi ruột ít chuyển động sau bữa ăn." (3D ruột)</t>
  </si>
  <si>
    <t>20–28 giây</t>
  </si>
  <si>
    <t>Lời hứa + hạ rào cản</t>
  </si>
  <si>
    <t>Số động tác, không cần dụng cụ, làm ở đâu cũng được.</t>
  </si>
  <si>
    <t>"3 động tác, không cần tập nhiều, tập mọi lúc mọi nơi."</t>
  </si>
  <si>
    <t>"3 động tác, 5 phút, ngồi ngay tại bàn ăn cũng làm được." Không nêu % cải thiện (lằn ranh 1).</t>
  </si>
  <si>
    <t>28–110 giây</t>
  </si>
  <si>
    <t>Động tác 1 → 3</t>
  </si>
  <si>
    <t>Tên chữ vàng → làm mẫu → số lần → lợi ích → b-roll 3D chen giữa.</t>
  </si>
  <si>
    <t>"Động tác 1… 50–100 lần… khí huyết lưu thông."</t>
  </si>
  <si>
    <t>"Động tác 1: thở bụng, hít 4 giây cho bụng phồng, thở ra 6 giây, 10 lần…"</t>
  </si>
  <si>
    <t>60–80 tiếng/động tác</t>
  </si>
  <si>
    <t>110–130 giây</t>
  </si>
  <si>
    <t>Câu hỏi + kiên trì</t>
  </si>
  <si>
    <t>Hỏi người xem một câu ngắn; nhắc làm đều.</t>
  </si>
  <si>
    <t>"Mỗi ngày 50–100 cái được không ạ?"</t>
  </si>
  <si>
    <t>"Tối nay làm thử rồi comment cho tôi biết bụng có nhẹ hơn không."</t>
  </si>
  <si>
    <t>130–145 giây</t>
  </si>
  <si>
    <t>Lời mời + chào</t>
  </si>
  <si>
    <t>Lưu, lan tỏa, theo dõi, câu chào cố định.</t>
  </si>
  <si>
    <t>"Nhớ lan tỏa · nhớ bấm theo dõi · biết ơn và hẹn gặp lại."</t>
  </si>
  <si>
    <t>Câu chào của page. Nếu nhắc dấu hiệu nguy hiểm thì kèm "đi khám ngay" (lằn ranh 5).</t>
  </si>
  <si>
    <t>B3. KHUNG MẸO / CÔNG THỨC CÓ VÒNG TÒ MÒ 50–90 GIÂY</t>
  </si>
  <si>
    <t>Theo "1 loại nước… gan" (400K, 682 bình luận) và "Lá ổi nấu thế này" (709K). Mẫu: "1 thói quen buổi tối giúp dạ dày nhẹ nhàng" (P1 hoặc P12).</t>
  </si>
  <si>
    <t>0–4 giây</t>
  </si>
  <si>
    <t>Box + lời hứa nhỏ</t>
  </si>
  <si>
    <t>Kết quả có hình ảnh + dễ làm, chưa nói tên đáp án.</t>
  </si>
  <si>
    <t>"1 loại nước… gan sạch khỏe tới già" + "rẻ như cho".</t>
  </si>
  <si>
    <t>Box "1 THÓI QUEN BUỔI TỐI GIÚP DẠ DÀY NHẸ NHÀNG – KHÔNG TỐN ĐỒNG NÀO".</t>
  </si>
  <si>
    <t>10–20 tiếng</t>
  </si>
  <si>
    <t>4–25 giây</t>
  </si>
  <si>
    <t>Vì sao quan trọng (vẫn giấu đáp án)</t>
  </si>
  <si>
    <t>Nhân hóa cơ quan, một ví von, một câu Đông y nếu có cơ sở.</t>
  </si>
  <si>
    <t>"Gan là nội tạng đáng thương nhất… không có dây thần kinh cảm giác."</t>
  </si>
  <si>
    <t>"Dạ dày làm việc từ sáng tới tối, đêm là lúc nó cần nghỉ, mà nhiều người lại bắt nó làm thêm ca."</t>
  </si>
  <si>
    <t>60–80 tiếng</t>
  </si>
  <si>
    <t>25–60 giây</t>
  </si>
  <si>
    <t>Lộ đáp án + cách làm từng bước</t>
  </si>
  <si>
    <t>Nguyên liệu hoặc việc làm, liều lượng đo bằng đồ trong nhà, thời điểm.</t>
  </si>
  <si>
    <t>"Rang vàng… 2 thìa khoảng 10g… hãm như trà."</t>
  </si>
  <si>
    <t>"Ăn tối xong trước 7 giờ, 2–3 tiếng sau mới nằm, kê cao đầu giường một gang tay."</t>
  </si>
  <si>
    <t>70–100 tiếng</t>
  </si>
  <si>
    <t>60–75 giây</t>
  </si>
  <si>
    <t>Lưu, lan tỏa, theo dõi, câu hỏi bình luận, câu chào.</t>
  </si>
  <si>
    <t>"Nhớ lưu về… lan tỏa… follow để nhận thêm nhiều giá trị."</t>
  </si>
  <si>
    <t>"Cô chú thường ăn tối lúc mấy giờ? Comment để tôi xem giúp." + câu chào của page.</t>
  </si>
  <si>
    <t>30–40 tiếng</t>
  </si>
  <si>
    <t>B4. KHUNG DANH SÁCH CÓ Ý CUỐI LÀ LỜI MỜI ~100 GIÂY (chỉ dùng ngày BOFU)</t>
  </si>
  <si>
    <t>Theo "3 loại thực phẩm sạch máu" (700K, 2K bình luận) và "5 việc sáng sớm" (289K). Mẫu: "4 việc buổi sáng người đau dạ dày nên làm" (P0 hoặc P13).</t>
  </si>
  <si>
    <t>0–10 giây</t>
  </si>
  <si>
    <t>Box + vào thẳng ý 1</t>
  </si>
  <si>
    <t>Không dẫn; nói ngay việc thứ nhất.</t>
  </si>
  <si>
    <t>"1. Uống một ly nước ấm buổi sáng."</t>
  </si>
  <si>
    <t>"1. Uống một ly nước ấm, đợi 15–20 phút rồi mới ăn sáng."</t>
  </si>
  <si>
    <t>10–70 giây</t>
  </si>
  <si>
    <t>Ý 1 → 3 miễn phí</t>
  </si>
  <si>
    <t>Mỗi ý: việc làm + một câu vì sao.</t>
  </si>
  <si>
    <t>Đi vệ sinh đúng giờ, ăn sáng thanh đạm…</t>
  </si>
  <si>
    <t>"2. Ăn sáng trước 8 giờ, món mềm ấm. 3. Ăn chậm, nhai kỹ, không vừa ăn vừa xem điện thoại."</t>
  </si>
  <si>
    <t>150–200 tiếng</t>
  </si>
  <si>
    <t>70–95 giây</t>
  </si>
  <si>
    <t>Ý 4 = lời mời nối thẳng từ nội dung</t>
  </si>
  <si>
    <t>Chỉ mời khi ý 4 là bước tiếp theo tự nhiên; có thể kèm ảnh bình luận thật (đã xin phép).</t>
  </si>
  <si>
    <t>"5. Một ly sữa hạt ngũ cốc…" + ảnh chụp bình luận khách + "ai chưa có thì nhắn Nam Hà".</t>
  </si>
  <si>
    <t>"4. Nếu đã làm đủ 3 việc mà sáng nào bụng cũng khó chịu, cô chú nhắn tin để đội ngũ hỏi kỹ triệu chứng." (DNA 8.13)</t>
  </si>
  <si>
    <t>50–70 tiếng</t>
  </si>
  <si>
    <t>95–105 giây</t>
  </si>
  <si>
    <t>Chào</t>
  </si>
  <si>
    <t>Câu chào cố định.</t>
  </si>
  <si>
    <t>"Biết ơn và sớm hẹn gặp lại, xin chào!"</t>
  </si>
  <si>
    <t>Câu chào của page.</t>
  </si>
  <si>
    <t>C. 15 KHUÔN TIÊU ĐỀ ĐÃ CHẠY Ở KÊNH NÀY</t>
  </si>
  <si>
    <t>Tầng phễu</t>
  </si>
  <si>
    <t>Khuôn tiêu đề</t>
  </si>
  <si>
    <t>Video gốc của kênh (lượt xem)</t>
  </si>
  <si>
    <t>Vì sao chạy</t>
  </si>
  <si>
    <t>Mẫu cho Bác sĩ Hội (page)</t>
  </si>
  <si>
    <t>Duyệt</t>
  </si>
  <si>
    <t>TOFU</t>
  </si>
  <si>
    <t>Khắc tinh của [vấn đề] không phải ai cũng biết · [Vấn đề]: sợ nhất [thứ]</t>
  </si>
  <si>
    <t>Khắc tinh của bệnh tật không phải ai cũng biết (2,1 triệu)</t>
  </si>
  <si>
    <t>Danh sách cặp siêu nhanh, xem lại nhiều lần, lưu để tra.</t>
  </si>
  <si>
    <t>Khắc tinh của dạ dày yếu: 9 thói quen ít ai để ý (P8)</t>
  </si>
  <si>
    <t>Bác sĩ</t>
  </si>
  <si>
    <t>[Vấn đề] lâu năm thì nhớ [làm] ngay</t>
  </si>
  <si>
    <t>Đau mỏi vai cổ gáy lâu năm thì nhớ tập ngay (1,5 triệu)</t>
  </si>
  <si>
    <t>Nỗi đau quen + mệnh lệnh làm ngay.</t>
  </si>
  <si>
    <t>Ợ nóng lâu năm thì nhớ đổi 3 thói quen buổi tối này (P1)</t>
  </si>
  <si>
    <t>[Vấn đề], [tên người] chỉ cách</t>
  </si>
  <si>
    <t>Đau lưng, đau dây thần kinh tọa Nam Hà chỉ cách (1,2 triệu)</t>
  </si>
  <si>
    <t>Tên người như một lời bảo chứng cá nhân.</t>
  </si>
  <si>
    <t>Đầy bụng sau ăn, bác sĩ Hội chỉ cách (P3)</t>
  </si>
  <si>
    <t>[N] động tác cho [vùng / vấn đề]</t>
  </si>
  <si>
    <t>5 động tác… vai cổ gáy (987K) · 3 động tác cực tốt cho ai đau lưng (410K)</t>
  </si>
  <si>
    <t>Số động tác cụ thể, làm theo được ngay. Bỏ chữ "thần kỳ", "chữa lành mọi".</t>
  </si>
  <si>
    <t>3 động tác 5 phút cho người hay đầy hơi sau ăn (P7)</t>
  </si>
  <si>
    <t>[Nguyên liệu] nấu thế này [kết quả nhìn thấy được]</t>
  </si>
  <si>
    <t>Lá ổi nấu thế này ngũ tạng sạch mỡ, eo con kiến (709K)</t>
  </si>
  <si>
    <t>Nguyên liệu rẻ, quen + kết quả bằng hình ảnh cơ thể.</t>
  </si>
  <si>
    <t>Gừng nấu thế này, bữa cơm nguội không còn làm bụng lạnh, đầy (P8)</t>
  </si>
  <si>
    <t>[N] loại thực phẩm [lợi ích], ngày chỉ cần [lượng nhỏ]</t>
  </si>
  <si>
    <t>3 loại thực phẩm sạch máu ngừa đột quỵ, ngày ăn 2 miếng (700K)</t>
  </si>
  <si>
    <t>Lượng nhỏ làm lời hứa dễ tin.</t>
  </si>
  <si>
    <t>3 món dễ tìm giúp bữa ăn nhẹ bụng hơn, mỗi bữa chỉ cần một ít (P8)</t>
  </si>
  <si>
    <t>Muốn bớt [vấn đề] thì cả đời nhớ hạn chế [nhóm] sau</t>
  </si>
  <si>
    <t>Muốn bớt ốm đau thì hạn chế ăn các thực phẩm sau (670K)</t>
  </si>
  <si>
    <t>Danh sách cấm toàn món quen, ai cũng tự soi.</t>
  </si>
  <si>
    <t>Muốn dạ dày bớt hành, cả đời nhớ hạn chế 7 thứ sau (P8, P10)</t>
  </si>
  <si>
    <t>[N] sai lầm khi [việc hằng ngày] cực kì có hại</t>
  </si>
  <si>
    <t>3 sai lầm khi ngủ (539K) · 3 sai lầm khi ăn trái cây (152K, 821 bình luận)</t>
  </si>
  <si>
    <t>Người xem sợ mình đang làm sai; luận điểm ngược đám đông kéo bình luận.</t>
  </si>
  <si>
    <t>3 sai lầm khi ăn tối khiến trào ngược đêm nặng hơn (P1)</t>
  </si>
  <si>
    <t>Mỗi ngày [N phút + hành động] đem lại hiệu quả bất ngờ</t>
  </si>
  <si>
    <t>15 phút gác chân lên tường (514K) · Đi bộ là liều thuốc (151K)</t>
  </si>
  <si>
    <t>Thời gian nhỏ + chữ "bất ngờ".</t>
  </si>
  <si>
    <t>Mỗi ngày 10 phút đi bộ chậm sau bữa tối: bụng nhẹ hẳn (P1, P10)</t>
  </si>
  <si>
    <t>MOFU</t>
  </si>
  <si>
    <t>[Triệu chứng mơ hồ] là cơ thể đang [báo điều gì]</t>
  </si>
  <si>
    <t>Mệt mỏi là cơ thể đang thiếu hụt các chất cần thiết (433K)</t>
  </si>
  <si>
    <t>Biến cảm giác mơ hồ thành nguyên nhân cụ thể để tự soi.</t>
  </si>
  <si>
    <t>Ợ hơi liên tục là dạ dày đang báo điều gì? (P3) – dấu hiệu nguy hiểm kèm "đi khám ngay"</t>
  </si>
  <si>
    <t>1 [thứ] rẻ như cho khiến [cơ quan] [kết quả] tới già</t>
  </si>
  <si>
    <t>1 loại nước khiến gan sạch khỏe tới già (400K)</t>
  </si>
  <si>
    <t>Giấu tên đáp án + "rẻ như cho".</t>
  </si>
  <si>
    <t>1 thói quen không tốn đồng nào giúp dạ dày đỡ cực mỗi tối (P1, P12)</t>
  </si>
  <si>
    <t>[N] động tác buổi sáng để đến [tuổi] cũng [kết quả]</t>
  </si>
  <si>
    <t>3 động tác tốt nhất buổi sáng để đến 60 tuổi cũng chẳng già (381K)</t>
  </si>
  <si>
    <t>Mốc tuổi + chống già.</t>
  </si>
  <si>
    <t>3 động tác buổi sáng cho người hay táo bón (P7)</t>
  </si>
  <si>
    <t>Ai [con số tự đo được] đừng bỏ lỡ video này</t>
  </si>
  <si>
    <t>Ai vòng bụng trên 80cm đừng bỏ lỡ video này (305K, 1,4K bình luận)</t>
  </si>
  <si>
    <t>Gọi đích danh bằng số đo; người xem tự nhận ra mình.</t>
  </si>
  <si>
    <t>Ai uống thuốc dạ dày trên 3 tháng đừng bỏ lỡ video này (P13)</t>
  </si>
  <si>
    <t>[N] việc sáng sớm nên làm từ nay [lợi ích]</t>
  </si>
  <si>
    <t>5 việc sáng sớm nên làm (289K) · 4 điều nên duy trì sáng sớm (194K)</t>
  </si>
  <si>
    <t>Khung giờ buổi sáng ai cũng có; quay lại được nhiều lần.</t>
  </si>
  <si>
    <t>4 việc sáng sớm người đau dạ dày nên làm (P3, P9)</t>
  </si>
  <si>
    <t>Lịch [uống / ăn] mỗi ngày giúp [kết quả]</t>
  </si>
  <si>
    <t>Lịch uống nước giúp da sáng đẹp dáng xinh tươi (213K)</t>
  </si>
  <si>
    <t>Giờ + lượng cụ thể = thứ để lưu và làm theo.</t>
  </si>
  <si>
    <t>Lịch ăn uống một ngày cho người trào ngược (P1, P8)</t>
  </si>
  <si>
    <t>D. CHECKLIST TRƯỚC KHI ĐĂNG</t>
  </si>
  <si>
    <t>Chọn "Có" hoặc "Không" ở cột Đạt (ô vàng nhạt). Một câu "Không" là phải sửa trước khi đăng (DNA ch.4). Điểm content phải đạt từ 9,5/10 theo DNA quyết định 111–113.</t>
  </si>
  <si>
    <t>Câu hỏi</t>
  </si>
  <si>
    <t>Đạt?</t>
  </si>
  <si>
    <t>Viral</t>
  </si>
  <si>
    <t>Chủ đề là vấn đề phổ thông, người xem tự làm được tại nhà?</t>
  </si>
  <si>
    <t>Box tiêu đề hiện ở khung đầu và là ảnh bìa; có con số hoặc kết quả nhìn thấy được?</t>
  </si>
  <si>
    <t>Câu đầu tiên là tiêu đề hoặc ý 1, không chào hỏi, không giới thiệu?</t>
  </si>
  <si>
    <t>Có câu hạ rào cản (không cần dụng cụ, làm ngay, tại nhà) trong 20 giây đầu?</t>
  </si>
  <si>
    <t>Thân bài đánh số, tên từng ý bằng chữ vàng, mỗi ý có sticker hoặc b-roll?</t>
  </si>
  <si>
    <t>Độ dài đúng khung: 25–40 giây (danh sách nhanh) hoặc 90–150 giây (bài tập, mẹo)?</t>
  </si>
  <si>
    <t>Kết bằng lưu → lan tỏa → một câu hỏi bình luận → câu chào cố định của page?</t>
  </si>
  <si>
    <t>Luật chung</t>
  </si>
  <si>
    <t>Video chưa từng lên page nào, chủ đề nằm trong lãnh thổ page, đã ghi Sổ chủ đề?</t>
  </si>
  <si>
    <t>Không bịa số liệu, không gắn một dấu hiệu với ung thư, không hứa khỏi, không xúi bỏ thuốc, dấu hiệu nguy hiểm có "đi khám ngay"?</t>
  </si>
  <si>
    <t>Không dùng từ thần thánh hóa ("thần kỳ", "chữa lành mọi…", "hiệu quả tức thì", "tốt nhất")?</t>
  </si>
  <si>
    <t>DNA</t>
  </si>
  <si>
    <t>Nội dung đúng chuyên môn; bác sĩ đã duyệt danh sách ý hoặc động tác?</t>
  </si>
  <si>
    <t>Người bệnh dễ hiểu?</t>
  </si>
  <si>
    <t>Không hứa vượt quá bằng chứng hiện có?</t>
  </si>
  <si>
    <t>Lời mời tư vấn (nếu có) nối thẳng từ nội dung, không chèn bán đột ngột?</t>
  </si>
  <si>
    <t>Đặt lợi ích người bệnh trước lợi ích thương mại?</t>
  </si>
  <si>
    <t>Nếu người thân của mình xem, mình có muốn họ xem nội dung này không?</t>
  </si>
  <si>
    <t>Số liệu 30 video · Health coach Nam Hà</t>
  </si>
  <si>
    <t>Kênh facebook.com/Healthcoachnamha · 1 triệu người theo dõi · đo ngày 08/10/2026. Đã quét 950 Reels gần nhất; chọn 30 video Nam Hà nói trực tiếp có lượt xem cao nhất (hạng 17–222 trên toàn kênh), loại video chữ và video chữ gắn mặt. Xếp theo 5 dạng; trong mỗi dạng xếp theo lượt xem.</t>
  </si>
  <si>
    <t>Dạng</t>
  </si>
  <si>
    <t># trên lưới (hạng lượt xem)</t>
  </si>
  <si>
    <t>Link Reel</t>
  </si>
  <si>
    <t>Ngày đăng</t>
  </si>
  <si>
    <t>Tiêu đề trên màn hình</t>
  </si>
  <si>
    <t>Kiểu mở đầu (0–10 giây)</t>
  </si>
  <si>
    <t>Thời lượng</t>
  </si>
  <si>
    <t>Lượt xem</t>
  </si>
  <si>
    <t>Cảm xúc</t>
  </si>
  <si>
    <t>Bình luận</t>
  </si>
  <si>
    <t>Chia sẻ</t>
  </si>
  <si>
    <t>Cảm xúc / lượt xem</t>
  </si>
  <si>
    <t>Bình luận / 1.000 lượt xem</t>
  </si>
  <si>
    <t>Chia sẻ / cảm xúc</t>
  </si>
  <si>
    <t>Số ý đánh số</t>
  </si>
  <si>
    <t>Giây / ý</t>
  </si>
  <si>
    <t>Nhắc sản phẩm</t>
  </si>
  <si>
    <t>Lời mời cuối video</t>
  </si>
  <si>
    <t>Dàn ý theo giây (đọc từ phụ đề in trên video)</t>
  </si>
  <si>
    <t>Vì sao chạy / bài học</t>
  </si>
  <si>
    <t>Danh sách / mẹo ≤ 60 giây</t>
  </si>
  <si>
    <t>https://www.facebook.com/reel/2114972765771948</t>
  </si>
  <si>
    <t>Khắc tinh của bệnh tật không phải ai cũng biết</t>
  </si>
  <si>
    <t>Ăn uống – thực phẩm</t>
  </si>
  <si>
    <t>Không chào, không dẫn: giây 0,3 đã vào ý 1 bằng chữ vàng + sticker</t>
  </si>
  <si>
    <t>Không</t>
  </si>
  <si>
    <t>Không (kết ở ý cuối)</t>
  </si>
  <si>
    <t>Không thấy</t>
  </si>
  <si>
    <t>0,3s ý 1 'Mắt mờ: sợ nhất cà rốt' (sticker con mắt) → mỗi ~2,3 giây một cặp 'bệnh: sợ nhất thực phẩm' (cảm lạnh – tía tô, mất ngủ – hạt sen, viêm dạ dày – nghệ, táo bón – khoai lang, thiếu kẽm – hạt bí, thiếu canxi – mè đen, tiểu buốt – râu ngô, mất nước – nước dừa, nhiệt miệng – diếp cá) → hết ở giây 25, không lời mời.</t>
  </si>
  <si>
    <t>Danh sách cặp siêu nhanh: xem một lần không nhớ hết nên xem lại và lưu. 4,9K chia sẻ (17,5% số cảm xúc); đạt 2,1 triệu sau 5 ngày.</t>
  </si>
  <si>
    <t>https://www.facebook.com/reel/1073139771715391</t>
  </si>
  <si>
    <t>Lá ổi nấu thế này ngũ tạng sạch mỡ, eo con kiến</t>
  </si>
  <si>
    <t>Box tiêu đề → nhắc lại bằng lời + sticker lá ổi, bác sĩ cầm dấu '?'</t>
  </si>
  <si>
    <t>Có</t>
  </si>
  <si>
    <t>Lưu + lan tỏa</t>
  </si>
  <si>
    <t>0s box → 2,6s nhắc lại tiêu đề bằng lời → (1) lá ổi + gừng: ấm người, giảm tích mỡ sau ăn, bớt đầy hơi (ảnh AI ly trà, mâm cỗ) → (2) lá ổi + chanh: chuyển hóa mỡ sau bữa nhiều đạm → (3) lá ổi + mật ong: dễ uống, bớt nặng bụng → 43s 'nhớ lưu về áp dụng' → 46s 'đừng quên lan tỏa'.</t>
  </si>
  <si>
    <t>Nguyên liệu rẻ, quen + kết quả bằng hình ảnh cơ thể ('eo con kiến'). 13,9K cảm xúc, cao thứ 3 trong 30 video.</t>
  </si>
  <si>
    <t>https://www.facebook.com/reel/844976855308507</t>
  </si>
  <si>
    <t>Muốn bớt ốm đau thì hạn chế ăn các thực phẩm sau</t>
  </si>
  <si>
    <t>Box → 'cả đời nhớ hạn chế…' + sticker STOP</t>
  </si>
  <si>
    <t>0s box → 2,7s 'cả đời nhớ hạn chế' (sticker STOP) → 7 món, ~2,5 giây/món, sticker món ăn bật cạnh mặt: mì tôm, xúc xích, đồ ăn nhanh, đồ hộp, trà sữa – nước ngọt, khoai tây chiên, đồ ăn vặt → 22,8s 'cả nhà nhớ lưu lại' → 'lan tỏa' → 27,9s vẫy tay chào chữ ký.</t>
  </si>
  <si>
    <t>Danh sách 'đừng ăn' toàn món ai cũng ăn: người xem tự soi và gửi cho người nhà.</t>
  </si>
  <si>
    <t>https://www.facebook.com/reel/4842899612609127</t>
  </si>
  <si>
    <t>15 phút gác chân lên tường</t>
  </si>
  <si>
    <t>Thói quen hằng ngày – sống thọ</t>
  </si>
  <si>
    <t>Chữ vàng con số + lợi ích ngay giây 0, rồi hạ rào cản 'không cần khởi động'</t>
  </si>
  <si>
    <t>0s '15 phút gác chân lên tường' → 'hiệu quả bất ngờ' → 'đơn giản mà lợi cho sức khỏe và sắc đẹp' → 'không cần khởi động, không chuẩn bị gì' → b-roll người làm mẫu → 24,6s 9 lợi ích ~2,7 giây/ý, sticker nội tạng → 59,7s chào chữ ký.</t>
  </si>
  <si>
    <t>Một hành động nhỏ có số phút + 9 lợi ích dồn dập. Phần 'lợi ích' nhiều chỗ quá mức (thải độc gan thận, trẻ hóa nội tạng).</t>
  </si>
  <si>
    <t>https://www.facebook.com/reel/2132121324080456</t>
  </si>
  <si>
    <t>Mệt mỏi là cơ thể đang bị thiếu hụt các chất cần thiết</t>
  </si>
  <si>
    <t>Box → từ giây 2 vào ngay nhịp 'triệu chứng ↔ chất thiếu'</t>
  </si>
  <si>
    <t>Mỗi ~2 giây một nhịp: sticker triệu chứng bên trái ↔ sticker chất bên phải, tay chỉ qua lại (chuột rút – Mg, đau xương – vitamin D, hụt hơi – đạm, mắt – vitamin A, tóc bạc sớm, móng giòn – kẽm…) → 38,5s 'xem xong nhớ lưu lại' → 'đừng quên lan tỏa'.</t>
  </si>
  <si>
    <t>Biến cảm giác mơ hồ (mệt) thành bảng tự soi; nhịp tay trái – phải giữ mắt.</t>
  </si>
  <si>
    <t>https://www.facebook.com/reel/1150584123950233</t>
  </si>
  <si>
    <t>Mắt thâm tan biến đơn giản tại nhà</t>
  </si>
  <si>
    <t>Mẹo nhà – làm đẹp</t>
  </si>
  <si>
    <t>Box → nỗi lo ngoại hình: hốc hác, già hơn tuổi (b-roll)</t>
  </si>
  <si>
    <t>Lan tỏa + follow</t>
  </si>
  <si>
    <t>0s box → 2,8s 'chỉ với cách làm đơn giản tại nhà' → b-roll cô gái quầng thâm, 'trông hốc hác, già hơn tuổi' → nguyên nhân (thiếu ngủ, rượu, thuốc lá) → 23s 'trí tuệ cổ xưa… nhớ lưu về' → cà chua + nước cốt chanh + nghệ, thoa 15 phút → 49s lan tỏa → 54s 'nhớ follow để nhận thêm giá trị' (icon nút FOLLOW).</t>
  </si>
  <si>
    <t>Đánh vào ngoại hình + công thức 3 nguyên liệu trong bếp.</t>
  </si>
  <si>
    <t>Bài tập làm mẫu</t>
  </si>
  <si>
    <t>https://www.facebook.com/reel/1111510108494817</t>
  </si>
  <si>
    <t>Đau mỏi vai cổ gáy lâu năm thì nhớ tập ngay</t>
  </si>
  <si>
    <t>Đau lưng – vai gáy</t>
  </si>
  <si>
    <t>Tay xoa cổ + box → 'có đấm có lắc tới mùa quýt năm sau'</t>
  </si>
  <si>
    <t>0s xoa cổ + box → 7s xoa bóp mãi không khỏi → 14s gốc là nhóm cơ vai gáy (b-roll) → 21s áp lực lên 7 đốt sống cổ (3D) → 28s 'Nam Hà bật mí 5 động tác vung tay' → động tác 1–5, mỗi động tác 50–100 cái + lợi ích → 'chia 2–3 set mỗi ngày'.</t>
  </si>
  <si>
    <t>Thói quen sai ai cũng làm + giải pháp làm ngay không dụng cụ. 3,5K chia sẻ, 2,3K bình luận.</t>
  </si>
  <si>
    <t>https://www.facebook.com/reel/1063029479678493</t>
  </si>
  <si>
    <t>Đau lưng, đau dây thần kinh tọa Nam Hà chỉ cách</t>
  </si>
  <si>
    <t>Tay ôm lưng + box → 'đừng có đấm như thế này nữa'</t>
  </si>
  <si>
    <t>0s ôm lưng + box → 4,6s 'đừng có đấm như thế này nữa' → 9s 'không bao giờ hết đau lưng' (3D cột sống) → 13s '4 động tác' → 18s 'kiên trì 7–10 ngày cải thiện 50–80%' → 26–85s nằm thảm làm mẫu, 20–30 lần, giữ thở 1 phút → 88s ngồi lại chốt.</t>
  </si>
  <si>
    <t>Mở bằng động tác sai đang làm + mốc thời gian. Con số 50–80% không có nguồn.</t>
  </si>
  <si>
    <t>https://www.facebook.com/reel/1084624890576136</t>
  </si>
  <si>
    <t>5 động tác thần kỳ chữa lành mọi tổn thương vai cổ gáy</t>
  </si>
  <si>
    <t>Tay ôm cổ + box → 'có lắc tới 2030' → 'phải nói tới bao giờ mới chịu hiểu'</t>
  </si>
  <si>
    <t>0s ôm cổ + box → 5,6s 'có lắc tới 2030' → 11s 'Nam Hà phải nói tới bao giờ…' → 16s cơ xương khớp lệch (3D) → 22s 'hiệu quả cực kỳ tuyệt vời' → 5 động tác, 50–100 lần, b-roll người đau chen giữa, ví 'như cánh chim' → 109s 'chỉ cần 7 ngày' → '50–80% tùy sự cam kết'.</t>
  </si>
  <si>
    <t>Giọng anh cả trách yêu tạo gần gũi. Chia sẻ/cảm xúc 36%, cao nhất 30 video.</t>
  </si>
  <si>
    <t>https://www.facebook.com/reel/28118810981090789</t>
  </si>
  <si>
    <t>Đau lưng, đau dây thần kinh tọa tập ngay bài này</t>
  </si>
  <si>
    <t>Tay ôm lưng + box → 'đừng đấm nữa, đấm tới 2030 cũng không hết'</t>
  </si>
  <si>
    <t>Giới thiệu dầu tràm</t>
  </si>
  <si>
    <t>0s box → 5,7s 'đừng có đấm như thế này nữa' → 11s đấm mãi không hết (b-roll) → 16,6s '3 động tác, không cần tập nhiều' → động tác 1–3, 50–100 lần, hỏi 'mỗi ngày 50–100 cái được không ạ' → 55s 'khắc tinh của đau chân' → 99s cầm chai dầu tràm: lưu thông khí huyết, cảm cúm, đau nhức.</t>
  </si>
  <si>
    <t>Bài tập giá trị trước, sản phẩm liên quan (xoa bóp) ở 20 giây cuối.</t>
  </si>
  <si>
    <t>https://www.facebook.com/reel/1596096095385583</t>
  </si>
  <si>
    <t>Tan biến đau lưng, thần kinh tọa, đau chân, khỏe mạnh khớp gối</t>
  </si>
  <si>
    <t>Box + giơ 1 ngón tay → 'không cần tới phòng tập'</t>
  </si>
  <si>
    <t>0s box → 6,4s chữ vàng nhắc lại + sticker → 12,5s 'không cần tới phòng tập' → 18,7s 'hiệu quả không thể nghĩ bàn' → 3 động tác ngồi, 20–30 và 30–50 lần, 3D xương chậu chen giữa → 'làm càng nhiều hông càng linh hoạt'.</t>
  </si>
  <si>
    <t>Cùng khuôn cụm đau lưng; tiêu đề gom nhiều vùng đau để chạm nhiều người.</t>
  </si>
  <si>
    <t>https://www.facebook.com/reel/1022943776797706</t>
  </si>
  <si>
    <t>3 động tác cực tốt cho ai đau lưng, thần kinh tọa</t>
  </si>
  <si>
    <t>Box + vẫy tay → 'tập mọi lúc mọi nơi'</t>
  </si>
  <si>
    <t>0s box → 6s 'cực kỳ hiệu quả, tập mọi lúc mọi nơi' (3D hông) → động tác 1–3, 30–50 lần, giữ thở 2 phút, 3D dây thần kinh tọa → kết 'hiệu quả rất là cao'.</t>
  </si>
  <si>
    <t>Khuôn bài tập lặp lại vẫn 410K: người xem đã quen định dạng.</t>
  </si>
  <si>
    <t>https://www.facebook.com/reel/2095992474603147</t>
  </si>
  <si>
    <t>3 động tác tốt nhất buổi sáng để đến 60 tuổi cũng chẳng già</t>
  </si>
  <si>
    <t>Box + vẫy tay → 'tập mọi lúc mọi nơi, không cầu kỳ'</t>
  </si>
  <si>
    <t>0s box → 'tập mọi lúc mọi nơi, không cầu kỳ' → '3 động tác tốt nhất buổi sáng' → đứng chân trần: vỗ tay nhón gót, vỗ tay kiễng 10 ngón, 50–100 lần; lợi ích chữ vàng (trục vai gáy, bơm máu về tim) → 111s 'nhớ lan tỏa' → 116s 'bấm theo dõi' (icon FOLLOW) → chào chữ ký.</t>
  </si>
  <si>
    <t>Lời hứa chống già theo mốc tuổi + bài tập đứng, ai cũng làm được.</t>
  </si>
  <si>
    <t>https://www.facebook.com/reel/3852616721709951</t>
  </si>
  <si>
    <t>Máu phi lên não ào ào, tan biến tiền đình</t>
  </si>
  <si>
    <t>Giấc ngủ – tuần hoàn não</t>
  </si>
  <si>
    <t>Box → chữ vàng 'chỉ với 1 động tác đơn giản' → tả triệu chứng 'say tàu xe'</t>
  </si>
  <si>
    <t>FOMO + follow</t>
  </si>
  <si>
    <t>0s vườn, cầm mic + box → 3,5s 'chỉ với 1 động tác' → lâng lâng như say tàu xe, quay cuồng, lo lắng → 17s 'cùng Nam Hà thử ngay' → 20–57s cắt sang phòng ngủ làm mẫu trên giường, giữ thở 40–60 giây → 60s quay lại vườn tóm lợi ích → 67s 'rất có thể đây là lần cuối bạn thấy video này' → follow → chào.</t>
  </si>
  <si>
    <t>Hai bối cảnh: nói ở vườn, làm mẫu ở đúng nơi người xem sẽ làm (giường).</t>
  </si>
  <si>
    <t>Mẹo / giảng 1–3 phút</t>
  </si>
  <si>
    <t>https://www.facebook.com/reel/1954721991850741</t>
  </si>
  <si>
    <t>3 sai lầm khi ngủ cực kì có hại cho sức khỏe</t>
  </si>
  <si>
    <t>Box → mượn tục ngữ: 'Ngạn ngữ Trung Hoa có câu…'</t>
  </si>
  <si>
    <t>0s box → 8s tục ngữ về giấc ngủ → 16–36s thức khuya: gan không lọc máu, nhan sắc tàn tạ, tích chất đ.ộc → sai lầm 2: ngủ khi say, tư thế chèn ép → teo não, t.ử v.ong → 64,8s sai lầm 3: ngủ nhiều ban ngày → càng ngủ càng mệt.</t>
  </si>
  <si>
    <t>Sợ hãi leo thang + nhan sắc; nói nhanh, tay diễn mạnh. Phần dọa quá mức không nên chép.</t>
  </si>
  <si>
    <t>https://www.facebook.com/reel/1845043269545636</t>
  </si>
  <si>
    <t>1 loại nước khiến gan sạch khỏe tới già</t>
  </si>
  <si>
    <t>Gan – vòng bụng – hàn khí</t>
  </si>
  <si>
    <t>Box → 'dễ làm, rẻ như cho' → 'gan là nội tạng đáng thương nhất'</t>
  </si>
  <si>
    <t>0s box (phía sau là nút bạc YouTube) → 4s 'rẻ như cho' → 7,8s nhân hóa gan → phản ứng hóa học, thanh lọc máu, Đông y 'gan tàng huyết' → sticker gan khóc → 'tế bào gan không có dây thần kinh cảm giác' → 'đừng để gan nát rồi mới lo' → 53,8s mới lộ cách làm: rang, 2 thìa ~10g, hãm như trà.</t>
  </si>
  <si>
    <t>Giấu tên 'loại nước' tới giây 54/84 → 682 bình luận hỏi.</t>
  </si>
  <si>
    <t>https://www.facebook.com/reel/2528258760959003</t>
  </si>
  <si>
    <t>Ai vòng bụng trên 80cm đừng bỏ lỡ video này</t>
  </si>
  <si>
    <t>Box gọi đích danh bằng số đo → tục ngữ 'thắt lưng càng dài…'</t>
  </si>
  <si>
    <t>Không rõ</t>
  </si>
  <si>
    <t>0s box → 7,9s tục ngữ về vòng eo → 15,5s nói hộ người xem 'bụng tôi to như thế chưa?' → cơ chế: khí độc đại tràng, ví 'lớp vữa trát', mỡ nội tạng (3D) → tam cao → xơ vữa, tai biến → giải pháp: chất xơ, uống thải độc, bỏ nước ngọt → 145s cầm chai đồ uống 'người nhà làm đều đặn' → bụng thon → 'Xin chào!'.</t>
  </si>
  <si>
    <t>Gọi đích danh bằng con số tự đo được → 1,4K bình luận (4,6/1.000 lượt xem).</t>
  </si>
  <si>
    <t>https://www.facebook.com/reel/2016094035954873</t>
  </si>
  <si>
    <t>Lịch uống nước giúp da sáng đẹp dáng xinh tươi</t>
  </si>
  <si>
    <t>Box → 'khoa học đã ghi nhận ~75% cơ thể là nước'</t>
  </si>
  <si>
    <t>Thả tim + lan tỏa</t>
  </si>
  <si>
    <t>0s box → 6s mượn 'khoa học' → 'muốn da trẻ, sáng hồng' → 17,7s 'cùng Nam Hà khám phá ngay' → lịch theo giờ + ml: vừa dậy 300–500ml, trước trưa 200ml, giữa chiều, trước tối, 19h30 100ml → tránh cà phê, nước ngọt → 122,8s 'đừng vội lướt qua, nhớ thả tim và lan tỏa' → chào.</t>
  </si>
  <si>
    <t>Lịch có giờ và ml cụ thể là thứ để lưu; đánh vào da đẹp.</t>
  </si>
  <si>
    <t>https://www.facebook.com/reel/1249757497002006</t>
  </si>
  <si>
    <t>4 điều nên duy trì đều vào sáng sớm thọ khỏe cả đời</t>
  </si>
  <si>
    <t>Box → vào thẳng việc 1 'dậy cùng bình minh 6–7h'</t>
  </si>
  <si>
    <t>Thả tim + lan tỏa + follow</t>
  </si>
  <si>
    <t>1. dậy 6–7h → 2. 300–500ml nước ('máu đặc nhất, huyết áp cao'; 'nghi thức quyền lực cho sức khỏe') → 3. đi vệ sinh 'thành công nhất đầu ngày' → 4. bữa sáng thanh đạm trước 8h (cháo, xôi, bún lứt nóng) → 80s 'đừng vội lướt qua, thả tim và cùng Nam Hà lan tỏa' → follow → chào.</t>
  </si>
  <si>
    <t>Quay lại chủ đề đã thắng (video '5 việc sáng sớm' 4/2025) sau 9 tháng, dùng lại cả câu chữ.</t>
  </si>
  <si>
    <t>https://www.facebook.com/reel/1257247309281162</t>
  </si>
  <si>
    <t>3 sai lầm lớn khi ăn trái cây gây hại cơ thể</t>
  </si>
  <si>
    <t>Box + tay OK → khen 'trái cây là siêu thực phẩm' rồi đảo 'không phải ai cũng biết'</t>
  </si>
  <si>
    <t>Thả tim + follow</t>
  </si>
  <si>
    <t>0s box → 5s khen trái cây (cảnh tự hái trong vườn) → 'nhưng không phải ai cũng biết dùng' → 1. không ăn trái không hạt ('có thể biến đổi gen') → 2. trái cây vận chuyển xa (b-roll phun thuốc) → ăn theo mùa → 3. không ăn ngay sau bữa chính → thả tim → follow → chào.</t>
  </si>
  <si>
    <t>Luận điểm ngược đám đông kích tranh luận: 821 bình luận (5,4/1.000 lượt xem, cao nhất). Ý 1 sai khoa học.</t>
  </si>
  <si>
    <t>https://www.facebook.com/reel/2005694093357472</t>
  </si>
  <si>
    <t>Đi bộ chính là liều thuốc chữa lành kỳ diệu</t>
  </si>
  <si>
    <t>Box → 'Theo Y học, bắp chân là trái tim thứ hai' + chuỗi số liệu giải phẫu</t>
  </si>
  <si>
    <t>0s box → 5s 'bắp chân là trái tim thứ hai' → 26 xương, 30 khớp, &gt;100 dây chằng → 'như máy bơm máu' → 29s 'theo Đông y… hàng trăm huyệt đạo' → 39s '30 phút đi bộ mỗi ngày' → lợi ích → 2 điều: đi chân trần, 'đi biết mình đang đi' → thả tim, lan tỏa, follow, chào.</t>
  </si>
  <si>
    <t>Tây y + Đông y trong một video; số liệu dồn dập tạo cảm giác chuyên môn.</t>
  </si>
  <si>
    <t>Có bán sản phẩm</t>
  </si>
  <si>
    <t>https://www.facebook.com/reel/1404111700928613</t>
  </si>
  <si>
    <t>3 loại thực phẩm sạch máu ngừa đột quỵ hiệu quả</t>
  </si>
  <si>
    <t>Box + tay OK → 'mỗi ngày chỉ ăn 2–3 miếng'</t>
  </si>
  <si>
    <t>Bán sữa hạt + ảnh bình luận khách</t>
  </si>
  <si>
    <t>0s box → 5,7s 'mỗi ngày chỉ ăn 2–3 miếng' → 1. tỏi → 2. bơ: chất béo tốt, kali, tim khỏe → 3. dưa hấu: lycopene → 72s '4. mỗi ngày 1–2 ly sữa hạt ngũ cốc' (sản phẩm): cảnh uống, cầm hũ → ảnh chụp bình luận khách khen → 'chưa đầy 2 phút pha' → 'không chất tạo màu, tạo vị'.</t>
  </si>
  <si>
    <t>Sản phẩm là ý số 4 của danh sách 3 ý → 2K bình luận; chia sẻ thấp (792).</t>
  </si>
  <si>
    <t>https://www.facebook.com/reel/1316267686972252</t>
  </si>
  <si>
    <t>Mẹo trị muỗi rất đơn giản mà nhà nào cũng cần</t>
  </si>
  <si>
    <t>Box → nỗi khó chịu đời thường 'muỗi vo ve, đốt sưng vù'</t>
  </si>
  <si>
    <t>Lan tỏa → bán dầu tràm → nhắn tin</t>
  </si>
  <si>
    <t>0s box → 4s muỗi vo ve (b-roll) → 8s đốt sưng, ngứa → 'hôm nay Nam Hà bật mí… vài nguyên liệu trong bếp' → vỏ chanh + gừng + tỏi + vài giọt dầu gió → túi vải treo góc nhà → 'muỗi, gián bỏ chạy' → 51,7s 'đừng quên lan tỏa' → 55s 'bên Nam Hà còn hỗ trợ bộ đôi' dầu tràm → 'nhanh tay nhắn cho Nam Hà'.</t>
  </si>
  <si>
    <t>Mẹo nhà dùng chính sản phẩm (dầu) làm nguyên liệu nên chuyển sang bán rất mượt.</t>
  </si>
  <si>
    <t>https://www.facebook.com/reel/1388767952141679</t>
  </si>
  <si>
    <t>5 việc sáng sớm nên làm từ nay yên tâm sống thọ</t>
  </si>
  <si>
    <t>Box → vào thẳng việc 1 'uống một ly nước ấm'</t>
  </si>
  <si>
    <t>Bán sữa hạt → nhắn tin</t>
  </si>
  <si>
    <t>1. ly nước ấm buổi sáng ('nghi thức quyền lực cho sức khỏe') → 2. đi vệ sinh sớm → 3. ăn sáng giữ dịch vị 5–6 tiếng → 4. ăn sáng thanh đạm → 5. một ly sữa hạt ngũ cốc (sản phẩm): nhuận tràng, dạ dày, đường huyết, 'chưa đầy 2 phút', 'cô bác tin dùng gần 4 năm', ảnh bình luận 'lấy 8–10 hộp' → 'ai chưa có nhắn Nam Hà' → chào.</t>
  </si>
  <si>
    <t>Mẫu 'ý cuối là sản phẩm' đã chạy từ 4/2025.</t>
  </si>
  <si>
    <t>https://www.facebook.com/reel/970225272084877</t>
  </si>
  <si>
    <t>Bữa sáng ưa thích Nam Hà dùng đều đặn mỗi ngày</t>
  </si>
  <si>
    <t>Bán hàng lifestyle</t>
  </si>
  <si>
    <t>Cảnh bế con gái bên hũ sữa hạt + box</t>
  </si>
  <si>
    <t>Nhắn tin mua</t>
  </si>
  <si>
    <t>0s bế con, hũ sữa hạt + box → '21 loại hạt' → nội tiết, tiêu hóa (ảnh AI) → 'cam kết 3 không' (X đỏ) → pha 70 độ → 'cô bác dùng hơn 4 năm' → so sánh 'trên thị trường chủ yếu bột gạo, đậu nành' → 'nhiều sữa cho bé' → ảnh trang 'gần 1.000.000 người theo dõi' → 'ai muốn hỗ trợ nhắn nha' → chào cùng con.</t>
  </si>
  <si>
    <t>Video bán thuần: 149K lượt xem nhờ cảnh gia đình thật, nhưng chỉ 18 chia sẻ.</t>
  </si>
  <si>
    <t>https://www.facebook.com/reel/1265761085447329</t>
  </si>
  <si>
    <t>4 mẹo lấy lại giấc ngủ chữa lành tự nhiên</t>
  </si>
  <si>
    <t>Box → b-roll người mất ngủ → 'chỉ cần mấy mẹo đơn giản'</t>
  </si>
  <si>
    <t>Bán dầu tràm → nhắn tin</t>
  </si>
  <si>
    <t>0s box → b-roll mất ngủ → 'chỉ cần mấy mẹo đơn giản' → 1. tắm nắng sáng ('9h tối là díp hết cả mắt'), serotonin → melatonin (sơ đồ) → 2. thở 4 giây vào, 8 giây ra → 3. ngâm chân nước ấm 20 phút → 4. thoa dầu tràm vào bàn chân và bụng (sản phẩm) → 'còn hỗ trợ cảm cúm, ho' → 'ai chưa có nhắn Nam Hà' → chào.</t>
  </si>
  <si>
    <t>Sản phẩm gắn vào một hành động trong chuỗi mẹo, đứng ở ý cuối.</t>
  </si>
  <si>
    <t>Video dài 11–16 phút</t>
  </si>
  <si>
    <t>https://www.facebook.com/reel/1849384099037598</t>
  </si>
  <si>
    <t>Ăn kham khổ, ăn ít lại · Sống trẻ khỏe dài lâu</t>
  </si>
  <si>
    <t>Thanh tiêu đề trên/dưới cố định suốt video; nói chuyện kiểu podcast</t>
  </si>
  <si>
    <t>Không xem hết (video dài)</t>
  </si>
  <si>
    <t>11 phút. Video ngang đặt giữa khung dọc; thanh trên 'ĂN KHAM KHỔ, ĂN ÍT LẠI', thanh dưới 'SỐNG TRẺ KHỎE DÀI LÂU'. Ngồi vườn giảng; chen b-roll (bụng mỡ, tế bào máu, người già ăn rau, bộ tộc sống thọ) và ảnh chụp bình luận.</t>
  </si>
  <si>
    <t>Chủ đề triết lý sống + uy tín cá nhân giữ người xem 11 phút.</t>
  </si>
  <si>
    <t>https://www.facebook.com/reel/875643771470128</t>
  </si>
  <si>
    <t>10 tín hiệu nhiễm hàn khí nặng · và 5 cách giải quyết tại nhà</t>
  </si>
  <si>
    <t>Thanh tiêu đề 2 tầng: 10 tín hiệu + 5 cách</t>
  </si>
  <si>
    <t>16 phút. Thanh trên '10 TÍN HIỆU NHIỄM HÀN KHÍ NẶNG', dưới 'VÀ 5 CÁCH GIẢI QUYẾT TẠI NHÀ ĐƠN GIẢN'. Giảng ở vườn; b-roll phụ nữ mệt, mặt phù, rụng tóc, gừng – tỏi – nghệ.</t>
  </si>
  <si>
    <t>Danh sách tín hiệu để người xem tự soi → 968 bình luận.</t>
  </si>
  <si>
    <t>https://www.facebook.com/reel/832436633122556</t>
  </si>
  <si>
    <t>1 động tác trên giường · Hết đau mỏi vai cổ gáy</t>
  </si>
  <si>
    <t>Thanh tiêu đề: '1 động tác trên giường'</t>
  </si>
  <si>
    <t>11,6 phút. Thanh trên '1 ĐỘNG TÁC TRÊN GIƯỜNG', dưới 'HẾT ĐAU MỎI VAI CỔ GÁY'. Nói ở vườn ~9 phút (cơ chế, chuyện, ảnh bình luận) rồi mới làm mẫu trên giường (~phút 9–10).</t>
  </si>
  <si>
    <t>Vòng tò mò dài nhất: lời hứa '1 động tác' giữ người xem tới phút 9.</t>
  </si>
  <si>
    <t>https://www.facebook.com/reel/1898701794354353</t>
  </si>
  <si>
    <t>5 cách đưa máu lên não ào ào · Ngủ ngon hơn mỗi ngày</t>
  </si>
  <si>
    <t>Thanh tiêu đề: '5 cách đưa máu lên não ào ào'</t>
  </si>
  <si>
    <t>11 phút. Thanh trên '5 CÁCH ĐƯA MÁU LÊN NÃO ÀO ÀO', dưới 'NGỦ NGON HƠN MỖI NGÀY'. Giảng ở vườn, b-roll người mất ngủ.</t>
  </si>
  <si>
    <t>Bản dài của chủ đề tiền đình (bản 74 giây: 201K).</t>
  </si>
  <si>
    <t>Tổng hợp theo dạng (công thức)</t>
  </si>
  <si>
    <t>Số video</t>
  </si>
  <si>
    <t>Bình luận / 1.000</t>
  </si>
  <si>
    <t>Số ý</t>
  </si>
  <si>
    <t>Có con số</t>
  </si>
  <si>
    <t>Có sản phẩm</t>
  </si>
  <si>
    <t>Chào chữ ký</t>
  </si>
  <si>
    <t>Trung vị (đếm 'Có' ở 3 cột cuối)</t>
  </si>
  <si>
    <t>Cả 30 video</t>
  </si>
  <si>
    <t>Nguồn: lượt xem lấy từ lưới Reels (Facebook làm tròn, ví dụ 2,1 triệu, 709K); cảm xúc, bình luận, chia sẻ lấy từ trang từng Reel; ngày đăng lấy từ dữ liệu trang (creation_time). Đo ngày 08/10/2026.</t>
  </si>
  <si>
    <t>Dàn ý, kiểu mở đầu, lời mời và câu chào được đọc từ phụ đề in trên video qua 12–24 khung hình lấy mẫu mỗi video, không có bản ghi âm. 'Không thấy' = không xuất hiện trong khung lấy mẫu, có thể vẫn có trong lời nói. Video dài chỉ lấy mẫu thưa.</t>
  </si>
  <si>
    <t>Bối cảnh toàn kênh: trong 100 video nhiều view nhất chỉ có 8 video Nam Hà nói trực tiếp; còn lại là video chữ (danh sách chữ trên nền hoa/ảnh), cao nhất 9,2 triệu. Một video có thumbnail giống người nói ('Tuyệt chiêu dùng máy sấy tóc', 963K) thực tế là video chữ cuộn nên đã loại.</t>
  </si>
  <si>
    <t>Cụm đau lưng – vai gáy (7 video): 1,5 triệu · 1,2 triệu · 987K · 728K · 505K · 410K · 265K. Chủ đề tiền đình có cả bản 74 giây (201K) và bản 11 phút (159K). Chủ đề 'việc buổi sáng' quay lại sau 9 tháng: 289K (4/2025) → 194K (1/2026).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</si>
</sst>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5" formatCode="dd/mm/yyyy"/>
    <numFmt numFmtId="166" formatCode="[m]:ss"/>
    <numFmt numFmtId="167" formatCode="0.0%"/>
    <numFmt numFmtId="168" formatCode="0.0"/>
  </numFmts>
  <fonts count="9" x14ac:knownFonts="1">
    <font>
      <sz val="11"/>
      <color theme="1"/>
      <name val="Calibri"/>
      <family val="2"/>
      <scheme val="minor"/>
    </font>
    <font>
      <b/>
      <sz val="15"/>
      <color rgb="FFFFFFFF"/>
      <name val="Arial"/>
    </font>
    <font>
      <sz val="10"/>
      <color rgb="FF444444"/>
      <name val="Arial"/>
    </font>
    <font>
      <b/>
      <sz val="10"/>
      <color rgb="FFFFFFFF"/>
      <name val="Arial"/>
    </font>
    <font>
      <sz val="10"/>
      <name val="Arial"/>
    </font>
    <font>
      <u/>
      <sz val="10"/>
      <color rgb="FF1155CC"/>
      <name val="Arial"/>
    </font>
    <font>
      <b/>
      <sz val="11"/>
      <color rgb="FF0B6B6B"/>
      <name val="Arial"/>
    </font>
    <font>
      <b/>
      <sz val="10"/>
      <name val="Arial"/>
    </font>
    <font>
      <i/>
      <sz val="9"/>
      <color rgb="FF666666"/>
      <name val="Arial"/>
    </font>
  </fonts>
  <fills count="7">
    <fill>
      <patternFill patternType="none"/>
    </fill>
    <fill>
      <patternFill patternType="gray125"/>
    </fill>
    <fill>
      <patternFill patternType="solid">
        <fgColor rgb="FF0B6B6B"/>
      </patternFill>
    </fill>
    <fill>
      <patternFill patternType="solid">
        <fgColor rgb="FFFDE2E1"/>
      </patternFill>
    </fill>
    <fill>
      <patternFill patternType="solid">
        <fgColor rgb="FFFFF4D6"/>
      </patternFill>
    </fill>
    <fill>
      <patternFill patternType="solid">
        <fgColor rgb="FFE3ECFB"/>
      </patternFill>
    </fill>
    <fill>
      <patternFill patternType="solid">
        <fgColor rgb="FFFFFBEA"/>
      </patternFill>
    </fill>
  </fills>
  <borders count="2">
    <border>
      <left/>
      <right/>
      <top/>
      <bottom/>
      <diagonal/>
    </border>
    <border>
      <left style="thin">
        <color rgb="FFD0D7D7"/>
      </left>
      <right style="thin">
        <color rgb="FFD0D7D7"/>
      </right>
      <top style="thin">
        <color rgb="FFD0D7D7"/>
      </top>
      <bottom style="thin">
        <color rgb="FFD0D7D7"/>
      </bottom>
      <diagonal/>
    </border>
  </borders>
  <cellStyleXfs count="1">
    <xf numFmtId="0" fontId="0" fillId="0" borderId="0"/>
  </cellStyleXfs>
  <cellXfs count="30">
    <xf numFmtId="0" fontId="0" fillId="0" borderId="0" xfId="0"/>
    <xf numFmtId="0" fontId="3" fillId="2" borderId="1" xfId="0" applyFont="1" applyFill="1" applyBorder="1" applyAlignment="1">
      <alignment horizontal="center" vertical="top" wrapText="1"/>
    </xf>
    <xf numFmtId="0" fontId="0" fillId="2" borderId="1" xfId="0" applyFill="1" applyBorder="1"/>
    <xf numFmtId="0" fontId="4" fillId="0" borderId="1" xfId="0" applyFont="1" applyBorder="1" applyAlignment="1">
      <alignment vertical="top" wrapText="1"/>
    </xf>
    <xf numFmtId="0" fontId="0" fillId="0" borderId="1" xfId="0" applyBorder="1"/>
    <xf numFmtId="0" fontId="7" fillId="0" borderId="1" xfId="0" applyFont="1" applyBorder="1" applyAlignment="1">
      <alignment vertical="top" wrapText="1"/>
    </xf>
    <xf numFmtId="3" fontId="7" fillId="0" borderId="1" xfId="0" applyNumberFormat="1" applyFont="1" applyBorder="1" applyAlignment="1">
      <alignment vertical="top" wrapText="1"/>
    </xf>
    <xf numFmtId="168" fontId="7" fillId="0" borderId="1" xfId="0" applyNumberFormat="1" applyFont="1" applyBorder="1" applyAlignment="1">
      <alignment vertical="top" wrapText="1"/>
    </xf>
    <xf numFmtId="166" fontId="7" fillId="0" borderId="1" xfId="0" applyNumberFormat="1" applyFont="1" applyBorder="1" applyAlignment="1">
      <alignment vertical="top" wrapText="1"/>
    </xf>
    <xf numFmtId="0" fontId="4" fillId="3" borderId="1" xfId="0" applyFont="1" applyFill="1" applyBorder="1" applyAlignment="1">
      <alignment horizontal="center" vertical="top" wrapText="1"/>
    </xf>
    <xf numFmtId="0" fontId="4" fillId="4" borderId="1" xfId="0" applyFont="1" applyFill="1" applyBorder="1" applyAlignment="1">
      <alignment horizontal="center" vertical="top" wrapText="1"/>
    </xf>
    <xf numFmtId="0" fontId="4" fillId="5" borderId="1" xfId="0" applyFont="1" applyFill="1" applyBorder="1" applyAlignment="1">
      <alignment horizontal="center" vertical="top" wrapText="1"/>
    </xf>
    <xf numFmtId="0" fontId="4" fillId="6" borderId="1" xfId="0" applyFont="1" applyFill="1" applyBorder="1" applyAlignment="1">
      <alignment vertical="top" wrapText="1"/>
    </xf>
    <xf numFmtId="0" fontId="5" fillId="0" borderId="1" xfId="0" applyFont="1" applyBorder="1" applyAlignment="1">
      <alignment vertical="top"/>
    </xf>
    <xf numFmtId="165" fontId="4" fillId="0" borderId="1" xfId="0" applyNumberFormat="1" applyFont="1" applyBorder="1" applyAlignment="1">
      <alignment vertical="top" wrapText="1"/>
    </xf>
    <xf numFmtId="166" fontId="4" fillId="0" borderId="1" xfId="0" applyNumberFormat="1" applyFont="1" applyBorder="1" applyAlignment="1">
      <alignment vertical="top" wrapText="1"/>
    </xf>
    <xf numFmtId="3" fontId="4" fillId="0" borderId="1" xfId="0" applyNumberFormat="1" applyFont="1" applyBorder="1" applyAlignment="1">
      <alignment vertical="top" wrapText="1"/>
    </xf>
    <xf numFmtId="167" fontId="4" fillId="0" borderId="1" xfId="0" applyNumberFormat="1" applyFont="1" applyBorder="1" applyAlignment="1">
      <alignment vertical="top" wrapText="1"/>
    </xf>
    <xf numFmtId="168" fontId="4" fillId="0" borderId="1" xfId="0" applyNumberFormat="1" applyFont="1" applyBorder="1" applyAlignment="1">
      <alignment vertical="top" wrapText="1"/>
    </xf>
    <xf numFmtId="9" fontId="4" fillId="0" borderId="1" xfId="0" applyNumberFormat="1" applyFont="1" applyBorder="1" applyAlignment="1">
      <alignment vertical="top" wrapText="1"/>
    </xf>
    <xf numFmtId="1" fontId="4" fillId="0" borderId="1" xfId="0" applyNumberFormat="1" applyFont="1" applyBorder="1" applyAlignment="1">
      <alignment vertical="top" wrapText="1"/>
    </xf>
    <xf numFmtId="0" fontId="4" fillId="0" borderId="1" xfId="0" applyFont="1" applyBorder="1" applyAlignment="1">
      <alignment vertical="top" wrapText="1"/>
    </xf>
    <xf numFmtId="0" fontId="0" fillId="0" borderId="1" xfId="0" applyBorder="1"/>
    <xf numFmtId="0" fontId="6" fillId="0" borderId="0" xfId="0" applyFont="1"/>
    <xf numFmtId="0" fontId="0" fillId="0" borderId="0" xfId="0"/>
    <xf numFmtId="0" fontId="8" fillId="0" borderId="0" xfId="0" applyFont="1" applyAlignment="1">
      <alignment vertical="top" wrapText="1"/>
    </xf>
    <xf numFmtId="0" fontId="3" fillId="2" borderId="1" xfId="0" applyFont="1" applyFill="1" applyBorder="1" applyAlignment="1">
      <alignment horizontal="center" vertical="top" wrapText="1"/>
    </xf>
    <xf numFmtId="0" fontId="0" fillId="2" borderId="1" xfId="0" applyFill="1" applyBorder="1"/>
    <xf numFmtId="0" fontId="1" fillId="2" borderId="0" xfId="0" applyFont="1" applyFill="1" applyAlignment="1">
      <alignment vertical="center" indent="1"/>
    </xf>
    <xf numFmtId="0" fontId="2"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hyperlink" Target="https://www.facebook.com/reel/1063029479678493" TargetMode="External"/><Relationship Id="rId13" Type="http://schemas.openxmlformats.org/officeDocument/2006/relationships/hyperlink" Target="https://www.facebook.com/reel/2095992474603147" TargetMode="External"/><Relationship Id="rId18" Type="http://schemas.openxmlformats.org/officeDocument/2006/relationships/hyperlink" Target="https://www.facebook.com/reel/2016094035954873" TargetMode="External"/><Relationship Id="rId26" Type="http://schemas.openxmlformats.org/officeDocument/2006/relationships/hyperlink" Target="https://www.facebook.com/reel/1265761085447329" TargetMode="External"/><Relationship Id="rId3" Type="http://schemas.openxmlformats.org/officeDocument/2006/relationships/hyperlink" Target="https://www.facebook.com/reel/844976855308507" TargetMode="External"/><Relationship Id="rId21" Type="http://schemas.openxmlformats.org/officeDocument/2006/relationships/hyperlink" Target="https://www.facebook.com/reel/2005694093357472" TargetMode="External"/><Relationship Id="rId7" Type="http://schemas.openxmlformats.org/officeDocument/2006/relationships/hyperlink" Target="https://www.facebook.com/reel/1111510108494817" TargetMode="External"/><Relationship Id="rId12" Type="http://schemas.openxmlformats.org/officeDocument/2006/relationships/hyperlink" Target="https://www.facebook.com/reel/1022943776797706" TargetMode="External"/><Relationship Id="rId17" Type="http://schemas.openxmlformats.org/officeDocument/2006/relationships/hyperlink" Target="https://www.facebook.com/reel/2528258760959003" TargetMode="External"/><Relationship Id="rId25" Type="http://schemas.openxmlformats.org/officeDocument/2006/relationships/hyperlink" Target="https://www.facebook.com/reel/970225272084877" TargetMode="External"/><Relationship Id="rId2" Type="http://schemas.openxmlformats.org/officeDocument/2006/relationships/hyperlink" Target="https://www.facebook.com/reel/1073139771715391" TargetMode="External"/><Relationship Id="rId16" Type="http://schemas.openxmlformats.org/officeDocument/2006/relationships/hyperlink" Target="https://www.facebook.com/reel/1845043269545636" TargetMode="External"/><Relationship Id="rId20" Type="http://schemas.openxmlformats.org/officeDocument/2006/relationships/hyperlink" Target="https://www.facebook.com/reel/1257247309281162" TargetMode="External"/><Relationship Id="rId29" Type="http://schemas.openxmlformats.org/officeDocument/2006/relationships/hyperlink" Target="https://www.facebook.com/reel/832436633122556" TargetMode="External"/><Relationship Id="rId1" Type="http://schemas.openxmlformats.org/officeDocument/2006/relationships/hyperlink" Target="https://www.facebook.com/reel/2114972765771948" TargetMode="External"/><Relationship Id="rId6" Type="http://schemas.openxmlformats.org/officeDocument/2006/relationships/hyperlink" Target="https://www.facebook.com/reel/1150584123950233" TargetMode="External"/><Relationship Id="rId11" Type="http://schemas.openxmlformats.org/officeDocument/2006/relationships/hyperlink" Target="https://www.facebook.com/reel/1596096095385583" TargetMode="External"/><Relationship Id="rId24" Type="http://schemas.openxmlformats.org/officeDocument/2006/relationships/hyperlink" Target="https://www.facebook.com/reel/1388767952141679" TargetMode="External"/><Relationship Id="rId5" Type="http://schemas.openxmlformats.org/officeDocument/2006/relationships/hyperlink" Target="https://www.facebook.com/reel/2132121324080456" TargetMode="External"/><Relationship Id="rId15" Type="http://schemas.openxmlformats.org/officeDocument/2006/relationships/hyperlink" Target="https://www.facebook.com/reel/1954721991850741" TargetMode="External"/><Relationship Id="rId23" Type="http://schemas.openxmlformats.org/officeDocument/2006/relationships/hyperlink" Target="https://www.facebook.com/reel/1316267686972252" TargetMode="External"/><Relationship Id="rId28" Type="http://schemas.openxmlformats.org/officeDocument/2006/relationships/hyperlink" Target="https://www.facebook.com/reel/875643771470128" TargetMode="External"/><Relationship Id="rId10" Type="http://schemas.openxmlformats.org/officeDocument/2006/relationships/hyperlink" Target="https://www.facebook.com/reel/28118810981090789" TargetMode="External"/><Relationship Id="rId19" Type="http://schemas.openxmlformats.org/officeDocument/2006/relationships/hyperlink" Target="https://www.facebook.com/reel/1249757497002006" TargetMode="External"/><Relationship Id="rId4" Type="http://schemas.openxmlformats.org/officeDocument/2006/relationships/hyperlink" Target="https://www.facebook.com/reel/4842899612609127" TargetMode="External"/><Relationship Id="rId9" Type="http://schemas.openxmlformats.org/officeDocument/2006/relationships/hyperlink" Target="https://www.facebook.com/reel/1084624890576136" TargetMode="External"/><Relationship Id="rId14" Type="http://schemas.openxmlformats.org/officeDocument/2006/relationships/hyperlink" Target="https://www.facebook.com/reel/3852616721709951" TargetMode="External"/><Relationship Id="rId22" Type="http://schemas.openxmlformats.org/officeDocument/2006/relationships/hyperlink" Target="https://www.facebook.com/reel/1404111700928613" TargetMode="External"/><Relationship Id="rId27" Type="http://schemas.openxmlformats.org/officeDocument/2006/relationships/hyperlink" Target="https://www.facebook.com/reel/1849384099037598" TargetMode="External"/><Relationship Id="rId30" Type="http://schemas.openxmlformats.org/officeDocument/2006/relationships/hyperlink" Target="https://www.facebook.com/reel/189870179435435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G124"/>
  <sheetViews>
    <sheetView tabSelected="1" workbookViewId="0">
      <pane ySplit="2" topLeftCell="A3" activePane="bottomLeft" state="frozen"/>
      <selection pane="bottomLeft" sqref="A1:G1"/>
    </sheetView>
  </sheetViews>
  <sheetFormatPr defaultRowHeight="15" x14ac:dyDescent="0.25"/>
  <cols>
    <col min="1" max="1" width="5" customWidth="1"/>
    <col min="2" max="2" width="13" customWidth="1"/>
    <col min="3" max="3" width="32" customWidth="1"/>
    <col min="4" max="5" width="44" customWidth="1"/>
    <col min="6" max="6" width="48" customWidth="1"/>
    <col min="7" max="7" width="12" customWidth="1"/>
  </cols>
  <sheetData>
    <row r="1" spans="1:7" ht="30" customHeight="1" x14ac:dyDescent="0.25">
      <c r="A1" s="28" t="s">
        <v>0</v>
      </c>
      <c r="B1" s="24"/>
      <c r="C1" s="24"/>
      <c r="D1" s="24"/>
      <c r="E1" s="24"/>
      <c r="F1" s="24"/>
      <c r="G1" s="24"/>
    </row>
    <row r="2" spans="1:7" ht="30" customHeight="1" x14ac:dyDescent="0.25">
      <c r="A2" s="29" t="s">
        <v>1</v>
      </c>
      <c r="B2" s="24"/>
      <c r="C2" s="24"/>
      <c r="D2" s="24"/>
      <c r="E2" s="24"/>
      <c r="F2" s="24"/>
      <c r="G2" s="24"/>
    </row>
    <row r="4" spans="1:7" ht="21.95" customHeight="1" x14ac:dyDescent="0.25">
      <c r="A4" s="23" t="s">
        <v>2</v>
      </c>
      <c r="B4" s="24"/>
      <c r="C4" s="24"/>
      <c r="D4" s="24"/>
      <c r="E4" s="24"/>
      <c r="F4" s="24"/>
      <c r="G4" s="24"/>
    </row>
    <row r="5" spans="1:7" ht="30" customHeight="1" x14ac:dyDescent="0.25">
      <c r="A5" s="1" t="s">
        <v>3</v>
      </c>
      <c r="B5" s="26" t="s">
        <v>4</v>
      </c>
      <c r="C5" s="27"/>
      <c r="D5" s="1" t="s">
        <v>5</v>
      </c>
      <c r="E5" s="26" t="s">
        <v>6</v>
      </c>
      <c r="F5" s="27"/>
      <c r="G5" s="27"/>
    </row>
    <row r="6" spans="1:7" ht="30" customHeight="1" x14ac:dyDescent="0.25">
      <c r="A6" s="3">
        <v>1</v>
      </c>
      <c r="B6" s="21" t="s">
        <v>7</v>
      </c>
      <c r="C6" s="22"/>
      <c r="D6" s="5" t="s">
        <v>8</v>
      </c>
      <c r="E6" s="21" t="s">
        <v>9</v>
      </c>
      <c r="F6" s="22"/>
      <c r="G6" s="22"/>
    </row>
    <row r="7" spans="1:7" ht="30" customHeight="1" x14ac:dyDescent="0.25">
      <c r="A7" s="3">
        <v>2</v>
      </c>
      <c r="B7" s="21" t="s">
        <v>10</v>
      </c>
      <c r="C7" s="22"/>
      <c r="D7" s="5" t="s">
        <v>11</v>
      </c>
      <c r="E7" s="21" t="s">
        <v>12</v>
      </c>
      <c r="F7" s="22"/>
      <c r="G7" s="22"/>
    </row>
    <row r="8" spans="1:7" ht="17.25" customHeight="1" x14ac:dyDescent="0.25">
      <c r="A8" s="3">
        <v>3</v>
      </c>
      <c r="B8" s="21" t="s">
        <v>13</v>
      </c>
      <c r="C8" s="22"/>
      <c r="D8" s="6">
        <f>MEDIAN('Số liệu Nam Hà'!I5:I34)</f>
        <v>390500</v>
      </c>
      <c r="E8" s="21" t="s">
        <v>14</v>
      </c>
      <c r="F8" s="22"/>
      <c r="G8" s="22"/>
    </row>
    <row r="9" spans="1:7" ht="17.25" customHeight="1" x14ac:dyDescent="0.25">
      <c r="A9" s="3">
        <v>4</v>
      </c>
      <c r="B9" s="21" t="s">
        <v>15</v>
      </c>
      <c r="C9" s="22"/>
      <c r="D9" s="6">
        <f>MAX('Số liệu Nam Hà'!I5:I34)</f>
        <v>2100000</v>
      </c>
      <c r="E9" s="21" t="s">
        <v>16</v>
      </c>
      <c r="F9" s="22"/>
      <c r="G9" s="22"/>
    </row>
    <row r="10" spans="1:7" ht="30" customHeight="1" x14ac:dyDescent="0.25">
      <c r="A10" s="3">
        <v>5</v>
      </c>
      <c r="B10" s="21" t="s">
        <v>17</v>
      </c>
      <c r="C10" s="22"/>
      <c r="D10" s="5" t="str">
        <f>"Bài tập "&amp;ROUND(MEDIAN('Số liệu Nam Hà'!I11:I18)/1000,0)&amp;"K · Danh sách ≤60 giây "&amp;ROUND(MEDIAN('Số liệu Nam Hà'!I5:I10)/1000,0)&amp;"K · Dài "&amp;ROUND(MEDIAN('Số liệu Nam Hà'!I31:I34)/1000,0)&amp;"K · Có bán "&amp;ROUND(MEDIAN('Số liệu Nam Hà'!I26:I30)/1000,0)&amp;"K · Mẹo/giảng 1–3 phút "&amp;ROUND(MEDIAN('Số liệu Nam Hà'!I19:I25)/1000,0)&amp;"K"</f>
        <v>Bài tập 617K · Danh sách ≤60 giây 592K · Dài 308K · Có bán 289K · Mẹo/giảng 1–3 phút 213K</v>
      </c>
      <c r="E10" s="21" t="s">
        <v>18</v>
      </c>
      <c r="F10" s="22"/>
      <c r="G10" s="22"/>
    </row>
    <row r="11" spans="1:7" ht="30" customHeight="1" x14ac:dyDescent="0.25">
      <c r="A11" s="3">
        <v>6</v>
      </c>
      <c r="B11" s="21" t="s">
        <v>19</v>
      </c>
      <c r="C11" s="22"/>
      <c r="D11" s="5" t="str">
        <f>"Bài tập "&amp;TEXT(MEDIAN('Số liệu Nam Hà'!O11:O18),"0%")&amp;" · Danh sách ≤60 giây "&amp;TEXT(MEDIAN('Số liệu Nam Hà'!O5:O10),"0%")&amp;" · Có bán "&amp;TEXT(MEDIAN('Số liệu Nam Hà'!O26:O30),"0%")</f>
        <v>Bài tập 22% · Danh sách ≤60 giây 15% · Có bán 7%</v>
      </c>
      <c r="E11" s="21" t="s">
        <v>20</v>
      </c>
      <c r="F11" s="22"/>
      <c r="G11" s="22"/>
    </row>
    <row r="12" spans="1:7" ht="30" customHeight="1" x14ac:dyDescent="0.25">
      <c r="A12" s="3">
        <v>7</v>
      </c>
      <c r="B12" s="21" t="s">
        <v>21</v>
      </c>
      <c r="C12" s="22"/>
      <c r="D12" s="7">
        <f>MAX('Số liệu Nam Hà'!N5:N34)</f>
        <v>5.401315789473685</v>
      </c>
      <c r="E12" s="21" t="s">
        <v>22</v>
      </c>
      <c r="F12" s="22"/>
      <c r="G12" s="22"/>
    </row>
    <row r="13" spans="1:7" ht="17.25" customHeight="1" x14ac:dyDescent="0.25">
      <c r="A13" s="3">
        <v>8</v>
      </c>
      <c r="B13" s="21" t="s">
        <v>23</v>
      </c>
      <c r="C13" s="22"/>
      <c r="D13" s="8">
        <f>MEDIAN('Số liệu Nam Hà'!H5:H30)</f>
        <v>1.193287037037037E-3</v>
      </c>
      <c r="E13" s="21" t="s">
        <v>24</v>
      </c>
      <c r="F13" s="22"/>
      <c r="G13" s="22"/>
    </row>
    <row r="14" spans="1:7" ht="17.25" customHeight="1" x14ac:dyDescent="0.25">
      <c r="A14" s="3">
        <v>9</v>
      </c>
      <c r="B14" s="21" t="s">
        <v>25</v>
      </c>
      <c r="C14" s="22"/>
      <c r="D14" s="5" t="str">
        <f>ROUND('Số liệu Nam Hà'!Q5,1)&amp;" giây/ý (2,1 triệu) · "&amp;ROUND('Số liệu Nam Hà'!Q7,1)&amp;" giây/ý (670K)"</f>
        <v>2.3 giây/ý (2,1 triệu) · 4 giây/ý (670K)</v>
      </c>
      <c r="E14" s="21" t="s">
        <v>26</v>
      </c>
      <c r="F14" s="22"/>
      <c r="G14" s="22"/>
    </row>
    <row r="15" spans="1:7" ht="17.25" customHeight="1" x14ac:dyDescent="0.25">
      <c r="A15" s="3">
        <v>10</v>
      </c>
      <c r="B15" s="21" t="s">
        <v>27</v>
      </c>
      <c r="C15" s="22"/>
      <c r="D15" s="5" t="str">
        <f>COUNTIF('Số liệu Nam Hà'!P5:P34,"&gt;=2")&amp;"/30"</f>
        <v>22/30</v>
      </c>
      <c r="E15" s="21" t="s">
        <v>28</v>
      </c>
      <c r="F15" s="22"/>
      <c r="G15" s="22"/>
    </row>
    <row r="16" spans="1:7" ht="17.25" customHeight="1" x14ac:dyDescent="0.25">
      <c r="A16" s="3">
        <v>11</v>
      </c>
      <c r="B16" s="21" t="s">
        <v>29</v>
      </c>
      <c r="C16" s="22"/>
      <c r="D16" s="5" t="str">
        <f>COUNTIF('Số liệu Nam Hà'!R5:R34,"Có")&amp;"/30"</f>
        <v>21/30</v>
      </c>
      <c r="E16" s="21" t="s">
        <v>30</v>
      </c>
      <c r="F16" s="22"/>
      <c r="G16" s="22"/>
    </row>
    <row r="17" spans="1:7" ht="17.25" customHeight="1" x14ac:dyDescent="0.25">
      <c r="A17" s="3">
        <v>12</v>
      </c>
      <c r="B17" s="21" t="s">
        <v>31</v>
      </c>
      <c r="C17" s="22"/>
      <c r="D17" s="5" t="str">
        <f>COUNTIF('Số liệu Nam Hà'!U5:U34,"Có")&amp;"/30"</f>
        <v>12/30</v>
      </c>
      <c r="E17" s="21" t="s">
        <v>32</v>
      </c>
      <c r="F17" s="22"/>
      <c r="G17" s="22"/>
    </row>
    <row r="18" spans="1:7" ht="17.25" customHeight="1" x14ac:dyDescent="0.25">
      <c r="A18" s="3">
        <v>13</v>
      </c>
      <c r="B18" s="21" t="s">
        <v>33</v>
      </c>
      <c r="C18" s="22"/>
      <c r="D18" s="5" t="str">
        <f>COUNTIF('Số liệu Nam Hà'!S5:S34,"Có")&amp;"/30"</f>
        <v>6/30</v>
      </c>
      <c r="E18" s="21" t="s">
        <v>34</v>
      </c>
      <c r="F18" s="22"/>
      <c r="G18" s="22"/>
    </row>
    <row r="19" spans="1:7" ht="17.25" customHeight="1" x14ac:dyDescent="0.25">
      <c r="A19" s="3">
        <v>14</v>
      </c>
      <c r="B19" s="21" t="s">
        <v>35</v>
      </c>
      <c r="C19" s="22"/>
      <c r="D19" s="5" t="str">
        <f>COUNTIF('Số liệu Nam Hà'!F5:F34,"Đau lưng – vai gáy")&amp;" video · "&amp;ROUND(SUMIF('Số liệu Nam Hà'!F5:F34,"Đau lưng – vai gáy",'Số liệu Nam Hà'!I5:I34)/1000000,1)&amp;" triệu lượt xem"</f>
        <v>7 video · 5.6 triệu lượt xem</v>
      </c>
      <c r="E19" s="21" t="s">
        <v>36</v>
      </c>
      <c r="F19" s="22"/>
      <c r="G19" s="22"/>
    </row>
    <row r="20" spans="1:7" ht="17.25" customHeight="1" x14ac:dyDescent="0.25">
      <c r="A20" s="3">
        <v>15</v>
      </c>
      <c r="B20" s="21" t="s">
        <v>37</v>
      </c>
      <c r="C20" s="22"/>
      <c r="D20" s="5" t="str">
        <f>COUNTIF('Số liệu Nam Hà'!D5:D34,"&gt;="&amp;DATE(2026,8,15))&amp;"/30 đăng từ 15/08/2026"</f>
        <v>8/30 đăng từ 15/08/2026</v>
      </c>
      <c r="E20" s="21" t="s">
        <v>38</v>
      </c>
      <c r="F20" s="22"/>
      <c r="G20" s="22"/>
    </row>
    <row r="22" spans="1:7" ht="21.95" customHeight="1" x14ac:dyDescent="0.25">
      <c r="A22" s="23" t="s">
        <v>39</v>
      </c>
      <c r="B22" s="24"/>
      <c r="C22" s="24"/>
      <c r="D22" s="24"/>
      <c r="E22" s="24"/>
      <c r="F22" s="24"/>
      <c r="G22" s="24"/>
    </row>
    <row r="23" spans="1:7" ht="27.95" customHeight="1" x14ac:dyDescent="0.25">
      <c r="A23" s="25" t="s">
        <v>40</v>
      </c>
      <c r="B23" s="24"/>
      <c r="C23" s="24"/>
      <c r="D23" s="24"/>
      <c r="E23" s="24"/>
      <c r="F23" s="24"/>
      <c r="G23" s="24"/>
    </row>
    <row r="24" spans="1:7" ht="30" customHeight="1" x14ac:dyDescent="0.25">
      <c r="A24" s="1" t="s">
        <v>3</v>
      </c>
      <c r="B24" s="1" t="s">
        <v>41</v>
      </c>
      <c r="C24" s="1" t="s">
        <v>42</v>
      </c>
      <c r="D24" s="1" t="s">
        <v>43</v>
      </c>
      <c r="E24" s="1" t="s">
        <v>44</v>
      </c>
      <c r="F24" s="1" t="s">
        <v>45</v>
      </c>
      <c r="G24" s="1" t="s">
        <v>46</v>
      </c>
    </row>
    <row r="25" spans="1:7" ht="42.95" customHeight="1" x14ac:dyDescent="0.25">
      <c r="A25" s="3">
        <v>1</v>
      </c>
      <c r="B25" s="3" t="s">
        <v>47</v>
      </c>
      <c r="C25" s="5" t="s">
        <v>48</v>
      </c>
      <c r="D25" s="3" t="s">
        <v>49</v>
      </c>
      <c r="E25" s="3" t="s">
        <v>50</v>
      </c>
      <c r="F25" s="3" t="s">
        <v>51</v>
      </c>
      <c r="G25" s="9" t="s">
        <v>52</v>
      </c>
    </row>
    <row r="26" spans="1:7" ht="56.1" customHeight="1" x14ac:dyDescent="0.25">
      <c r="A26" s="3">
        <v>2</v>
      </c>
      <c r="B26" s="3" t="s">
        <v>53</v>
      </c>
      <c r="C26" s="5" t="s">
        <v>54</v>
      </c>
      <c r="D26" s="3" t="s">
        <v>55</v>
      </c>
      <c r="E26" s="3" t="s">
        <v>56</v>
      </c>
      <c r="F26" s="3" t="s">
        <v>57</v>
      </c>
      <c r="G26" s="9" t="s">
        <v>52</v>
      </c>
    </row>
    <row r="27" spans="1:7" ht="42.95" customHeight="1" x14ac:dyDescent="0.25">
      <c r="A27" s="3">
        <v>3</v>
      </c>
      <c r="B27" s="3" t="s">
        <v>58</v>
      </c>
      <c r="C27" s="5" t="s">
        <v>59</v>
      </c>
      <c r="D27" s="3" t="s">
        <v>60</v>
      </c>
      <c r="E27" s="3" t="s">
        <v>61</v>
      </c>
      <c r="F27" s="3" t="s">
        <v>62</v>
      </c>
      <c r="G27" s="9" t="s">
        <v>52</v>
      </c>
    </row>
    <row r="28" spans="1:7" ht="42.95" customHeight="1" x14ac:dyDescent="0.25">
      <c r="A28" s="3">
        <v>4</v>
      </c>
      <c r="B28" s="3" t="s">
        <v>58</v>
      </c>
      <c r="C28" s="5" t="s">
        <v>63</v>
      </c>
      <c r="D28" s="3" t="s">
        <v>64</v>
      </c>
      <c r="E28" s="3" t="s">
        <v>65</v>
      </c>
      <c r="F28" s="3" t="s">
        <v>66</v>
      </c>
      <c r="G28" s="10" t="s">
        <v>67</v>
      </c>
    </row>
    <row r="29" spans="1:7" ht="42.95" customHeight="1" x14ac:dyDescent="0.25">
      <c r="A29" s="3">
        <v>5</v>
      </c>
      <c r="B29" s="3" t="s">
        <v>68</v>
      </c>
      <c r="C29" s="5" t="s">
        <v>69</v>
      </c>
      <c r="D29" s="3" t="s">
        <v>70</v>
      </c>
      <c r="E29" s="3" t="s">
        <v>71</v>
      </c>
      <c r="F29" s="3" t="s">
        <v>72</v>
      </c>
      <c r="G29" s="9" t="s">
        <v>52</v>
      </c>
    </row>
    <row r="30" spans="1:7" ht="42.95" customHeight="1" x14ac:dyDescent="0.25">
      <c r="A30" s="3">
        <v>6</v>
      </c>
      <c r="B30" s="3" t="s">
        <v>68</v>
      </c>
      <c r="C30" s="5" t="s">
        <v>73</v>
      </c>
      <c r="D30" s="3" t="s">
        <v>74</v>
      </c>
      <c r="E30" s="3" t="s">
        <v>75</v>
      </c>
      <c r="F30" s="3" t="s">
        <v>76</v>
      </c>
      <c r="G30" s="9" t="s">
        <v>52</v>
      </c>
    </row>
    <row r="31" spans="1:7" ht="42.95" customHeight="1" x14ac:dyDescent="0.25">
      <c r="A31" s="3">
        <v>7</v>
      </c>
      <c r="B31" s="3" t="s">
        <v>68</v>
      </c>
      <c r="C31" s="5" t="s">
        <v>77</v>
      </c>
      <c r="D31" s="3" t="s">
        <v>78</v>
      </c>
      <c r="E31" s="3" t="s">
        <v>79</v>
      </c>
      <c r="F31" s="3" t="s">
        <v>80</v>
      </c>
      <c r="G31" s="10" t="s">
        <v>67</v>
      </c>
    </row>
    <row r="32" spans="1:7" ht="42.95" customHeight="1" x14ac:dyDescent="0.25">
      <c r="A32" s="3">
        <v>8</v>
      </c>
      <c r="B32" s="3" t="s">
        <v>81</v>
      </c>
      <c r="C32" s="5" t="s">
        <v>82</v>
      </c>
      <c r="D32" s="3" t="s">
        <v>83</v>
      </c>
      <c r="E32" s="3" t="s">
        <v>84</v>
      </c>
      <c r="F32" s="3" t="s">
        <v>85</v>
      </c>
      <c r="G32" s="9" t="s">
        <v>52</v>
      </c>
    </row>
    <row r="33" spans="1:7" ht="42.95" customHeight="1" x14ac:dyDescent="0.25">
      <c r="A33" s="3">
        <v>9</v>
      </c>
      <c r="B33" s="3" t="s">
        <v>81</v>
      </c>
      <c r="C33" s="5" t="s">
        <v>86</v>
      </c>
      <c r="D33" s="3" t="s">
        <v>87</v>
      </c>
      <c r="E33" s="3" t="s">
        <v>88</v>
      </c>
      <c r="F33" s="3" t="s">
        <v>89</v>
      </c>
      <c r="G33" s="9" t="s">
        <v>52</v>
      </c>
    </row>
    <row r="34" spans="1:7" ht="56.1" customHeight="1" x14ac:dyDescent="0.25">
      <c r="A34" s="3">
        <v>10</v>
      </c>
      <c r="B34" s="3" t="s">
        <v>81</v>
      </c>
      <c r="C34" s="5" t="s">
        <v>90</v>
      </c>
      <c r="D34" s="3" t="s">
        <v>91</v>
      </c>
      <c r="E34" s="3" t="s">
        <v>92</v>
      </c>
      <c r="F34" s="3" t="s">
        <v>93</v>
      </c>
      <c r="G34" s="9" t="s">
        <v>52</v>
      </c>
    </row>
    <row r="35" spans="1:7" ht="42.95" customHeight="1" x14ac:dyDescent="0.25">
      <c r="A35" s="3">
        <v>11</v>
      </c>
      <c r="B35" s="3" t="s">
        <v>81</v>
      </c>
      <c r="C35" s="5" t="s">
        <v>94</v>
      </c>
      <c r="D35" s="3" t="s">
        <v>95</v>
      </c>
      <c r="E35" s="3" t="s">
        <v>96</v>
      </c>
      <c r="F35" s="3" t="s">
        <v>97</v>
      </c>
      <c r="G35" s="11" t="s">
        <v>98</v>
      </c>
    </row>
    <row r="36" spans="1:7" ht="42.95" customHeight="1" x14ac:dyDescent="0.25">
      <c r="A36" s="3">
        <v>12</v>
      </c>
      <c r="B36" s="3" t="s">
        <v>81</v>
      </c>
      <c r="C36" s="5" t="s">
        <v>99</v>
      </c>
      <c r="D36" s="3" t="s">
        <v>100</v>
      </c>
      <c r="E36" s="3" t="s">
        <v>101</v>
      </c>
      <c r="F36" s="3" t="s">
        <v>102</v>
      </c>
      <c r="G36" s="10" t="s">
        <v>67</v>
      </c>
    </row>
    <row r="37" spans="1:7" ht="42.95" customHeight="1" x14ac:dyDescent="0.25">
      <c r="A37" s="3">
        <v>13</v>
      </c>
      <c r="B37" s="3" t="s">
        <v>103</v>
      </c>
      <c r="C37" s="5" t="s">
        <v>104</v>
      </c>
      <c r="D37" s="3" t="s">
        <v>105</v>
      </c>
      <c r="E37" s="3" t="s">
        <v>106</v>
      </c>
      <c r="F37" s="3" t="s">
        <v>107</v>
      </c>
      <c r="G37" s="9" t="s">
        <v>52</v>
      </c>
    </row>
    <row r="38" spans="1:7" ht="42.95" customHeight="1" x14ac:dyDescent="0.25">
      <c r="A38" s="3">
        <v>14</v>
      </c>
      <c r="B38" s="3" t="s">
        <v>103</v>
      </c>
      <c r="C38" s="5" t="s">
        <v>108</v>
      </c>
      <c r="D38" s="3" t="s">
        <v>109</v>
      </c>
      <c r="E38" s="3" t="s">
        <v>110</v>
      </c>
      <c r="F38" s="3" t="s">
        <v>111</v>
      </c>
      <c r="G38" s="11" t="s">
        <v>98</v>
      </c>
    </row>
    <row r="39" spans="1:7" ht="56.1" customHeight="1" x14ac:dyDescent="0.25">
      <c r="A39" s="3">
        <v>15</v>
      </c>
      <c r="B39" s="3" t="s">
        <v>103</v>
      </c>
      <c r="C39" s="5" t="s">
        <v>112</v>
      </c>
      <c r="D39" s="3" t="s">
        <v>113</v>
      </c>
      <c r="E39" s="3" t="s">
        <v>114</v>
      </c>
      <c r="F39" s="3" t="s">
        <v>115</v>
      </c>
      <c r="G39" s="10" t="s">
        <v>67</v>
      </c>
    </row>
    <row r="40" spans="1:7" ht="42.95" customHeight="1" x14ac:dyDescent="0.25">
      <c r="A40" s="3">
        <v>16</v>
      </c>
      <c r="B40" s="3" t="s">
        <v>103</v>
      </c>
      <c r="C40" s="5" t="s">
        <v>116</v>
      </c>
      <c r="D40" s="3" t="s">
        <v>117</v>
      </c>
      <c r="E40" s="3" t="s">
        <v>118</v>
      </c>
      <c r="F40" s="3" t="s">
        <v>119</v>
      </c>
      <c r="G40" s="10" t="s">
        <v>67</v>
      </c>
    </row>
    <row r="41" spans="1:7" ht="42.95" customHeight="1" x14ac:dyDescent="0.25">
      <c r="A41" s="3">
        <v>17</v>
      </c>
      <c r="B41" s="3" t="s">
        <v>103</v>
      </c>
      <c r="C41" s="5" t="s">
        <v>120</v>
      </c>
      <c r="D41" s="3" t="s">
        <v>121</v>
      </c>
      <c r="E41" s="3" t="s">
        <v>122</v>
      </c>
      <c r="F41" s="3" t="s">
        <v>123</v>
      </c>
      <c r="G41" s="10" t="s">
        <v>67</v>
      </c>
    </row>
    <row r="42" spans="1:7" ht="42.95" customHeight="1" x14ac:dyDescent="0.25">
      <c r="A42" s="3">
        <v>18</v>
      </c>
      <c r="B42" s="3" t="s">
        <v>124</v>
      </c>
      <c r="C42" s="5" t="s">
        <v>125</v>
      </c>
      <c r="D42" s="3" t="s">
        <v>126</v>
      </c>
      <c r="E42" s="3" t="s">
        <v>127</v>
      </c>
      <c r="F42" s="3" t="s">
        <v>128</v>
      </c>
      <c r="G42" s="9" t="s">
        <v>52</v>
      </c>
    </row>
    <row r="43" spans="1:7" ht="42.95" customHeight="1" x14ac:dyDescent="0.25">
      <c r="A43" s="3">
        <v>19</v>
      </c>
      <c r="B43" s="3" t="s">
        <v>124</v>
      </c>
      <c r="C43" s="5" t="s">
        <v>129</v>
      </c>
      <c r="D43" s="3" t="s">
        <v>130</v>
      </c>
      <c r="E43" s="3" t="s">
        <v>131</v>
      </c>
      <c r="F43" s="3" t="s">
        <v>132</v>
      </c>
      <c r="G43" s="10" t="s">
        <v>67</v>
      </c>
    </row>
    <row r="44" spans="1:7" ht="42.95" customHeight="1" x14ac:dyDescent="0.25">
      <c r="A44" s="3">
        <v>20</v>
      </c>
      <c r="B44" s="3" t="s">
        <v>133</v>
      </c>
      <c r="C44" s="5" t="s">
        <v>134</v>
      </c>
      <c r="D44" s="3" t="s">
        <v>135</v>
      </c>
      <c r="E44" s="3" t="s">
        <v>136</v>
      </c>
      <c r="F44" s="3" t="s">
        <v>137</v>
      </c>
      <c r="G44" s="10" t="s">
        <v>67</v>
      </c>
    </row>
    <row r="45" spans="1:7" ht="42.95" customHeight="1" x14ac:dyDescent="0.25">
      <c r="A45" s="3">
        <v>21</v>
      </c>
      <c r="B45" s="3" t="s">
        <v>138</v>
      </c>
      <c r="C45" s="5" t="s">
        <v>139</v>
      </c>
      <c r="D45" s="3" t="s">
        <v>140</v>
      </c>
      <c r="E45" s="3" t="s">
        <v>141</v>
      </c>
      <c r="F45" s="3" t="s">
        <v>142</v>
      </c>
      <c r="G45" s="11" t="s">
        <v>98</v>
      </c>
    </row>
    <row r="46" spans="1:7" ht="56.1" customHeight="1" x14ac:dyDescent="0.25">
      <c r="A46" s="3">
        <v>22</v>
      </c>
      <c r="B46" s="3" t="s">
        <v>143</v>
      </c>
      <c r="C46" s="5" t="s">
        <v>144</v>
      </c>
      <c r="D46" s="3" t="s">
        <v>145</v>
      </c>
      <c r="E46" s="3" t="s">
        <v>146</v>
      </c>
      <c r="F46" s="3" t="s">
        <v>147</v>
      </c>
      <c r="G46" s="9" t="s">
        <v>52</v>
      </c>
    </row>
    <row r="47" spans="1:7" ht="42.95" customHeight="1" x14ac:dyDescent="0.25">
      <c r="A47" s="3">
        <v>23</v>
      </c>
      <c r="B47" s="3" t="s">
        <v>148</v>
      </c>
      <c r="C47" s="5" t="s">
        <v>149</v>
      </c>
      <c r="D47" s="3" t="s">
        <v>150</v>
      </c>
      <c r="E47" s="3" t="s">
        <v>151</v>
      </c>
      <c r="F47" s="3" t="s">
        <v>152</v>
      </c>
      <c r="G47" s="11" t="s">
        <v>98</v>
      </c>
    </row>
    <row r="48" spans="1:7" ht="30" customHeight="1" x14ac:dyDescent="0.25">
      <c r="A48" s="3">
        <v>24</v>
      </c>
      <c r="B48" s="3" t="s">
        <v>153</v>
      </c>
      <c r="C48" s="5" t="s">
        <v>154</v>
      </c>
      <c r="D48" s="3" t="s">
        <v>155</v>
      </c>
      <c r="E48" s="3" t="s">
        <v>156</v>
      </c>
      <c r="F48" s="3" t="s">
        <v>157</v>
      </c>
      <c r="G48" s="11" t="s">
        <v>98</v>
      </c>
    </row>
    <row r="49" spans="1:7" ht="42.95" customHeight="1" x14ac:dyDescent="0.25">
      <c r="A49" s="3">
        <v>25</v>
      </c>
      <c r="B49" s="3" t="s">
        <v>158</v>
      </c>
      <c r="C49" s="5" t="s">
        <v>159</v>
      </c>
      <c r="D49" s="3" t="s">
        <v>160</v>
      </c>
      <c r="E49" s="3" t="s">
        <v>161</v>
      </c>
      <c r="F49" s="3" t="s">
        <v>162</v>
      </c>
      <c r="G49" s="10" t="s">
        <v>67</v>
      </c>
    </row>
    <row r="50" spans="1:7" ht="95.1" customHeight="1" x14ac:dyDescent="0.25">
      <c r="A50" s="3">
        <v>26</v>
      </c>
      <c r="B50" s="3" t="s">
        <v>163</v>
      </c>
      <c r="C50" s="5" t="s">
        <v>164</v>
      </c>
      <c r="D50" s="3" t="s">
        <v>165</v>
      </c>
      <c r="E50" s="3" t="s">
        <v>166</v>
      </c>
      <c r="F50" s="3" t="s">
        <v>167</v>
      </c>
      <c r="G50" s="9" t="s">
        <v>52</v>
      </c>
    </row>
    <row r="51" spans="1:7" ht="42.95" customHeight="1" x14ac:dyDescent="0.25">
      <c r="A51" s="3">
        <v>27</v>
      </c>
      <c r="B51" s="3" t="s">
        <v>168</v>
      </c>
      <c r="C51" s="5" t="s">
        <v>169</v>
      </c>
      <c r="D51" s="3" t="s">
        <v>170</v>
      </c>
      <c r="E51" s="3" t="s">
        <v>171</v>
      </c>
      <c r="F51" s="3" t="s">
        <v>172</v>
      </c>
      <c r="G51" s="10" t="s">
        <v>67</v>
      </c>
    </row>
    <row r="53" spans="1:7" ht="21.95" customHeight="1" x14ac:dyDescent="0.25">
      <c r="A53" s="23" t="s">
        <v>173</v>
      </c>
      <c r="B53" s="24"/>
      <c r="C53" s="24"/>
      <c r="D53" s="24"/>
      <c r="E53" s="24"/>
      <c r="F53" s="24"/>
      <c r="G53" s="24"/>
    </row>
    <row r="54" spans="1:7" ht="15.6" customHeight="1" x14ac:dyDescent="0.25">
      <c r="A54" s="25" t="s">
        <v>174</v>
      </c>
      <c r="B54" s="24"/>
      <c r="C54" s="24"/>
      <c r="D54" s="24"/>
      <c r="E54" s="24"/>
      <c r="F54" s="24"/>
      <c r="G54" s="24"/>
    </row>
    <row r="55" spans="1:7" ht="30" customHeight="1" x14ac:dyDescent="0.25">
      <c r="A55" s="1" t="s">
        <v>3</v>
      </c>
      <c r="B55" s="1" t="s">
        <v>175</v>
      </c>
      <c r="C55" s="1" t="s">
        <v>176</v>
      </c>
      <c r="D55" s="1" t="s">
        <v>177</v>
      </c>
      <c r="E55" s="1" t="s">
        <v>178</v>
      </c>
      <c r="F55" s="1" t="s">
        <v>179</v>
      </c>
      <c r="G55" s="1" t="s">
        <v>180</v>
      </c>
    </row>
    <row r="56" spans="1:7" ht="30" customHeight="1" x14ac:dyDescent="0.25">
      <c r="A56" s="3">
        <v>1</v>
      </c>
      <c r="B56" s="3" t="s">
        <v>181</v>
      </c>
      <c r="C56" s="3" t="s">
        <v>182</v>
      </c>
      <c r="D56" s="3" t="s">
        <v>183</v>
      </c>
      <c r="E56" s="3" t="s">
        <v>184</v>
      </c>
      <c r="F56" s="3" t="s">
        <v>185</v>
      </c>
      <c r="G56" s="3" t="s">
        <v>186</v>
      </c>
    </row>
    <row r="57" spans="1:7" ht="30" customHeight="1" x14ac:dyDescent="0.25">
      <c r="A57" s="3">
        <v>2</v>
      </c>
      <c r="B57" s="3" t="s">
        <v>187</v>
      </c>
      <c r="C57" s="3" t="s">
        <v>188</v>
      </c>
      <c r="D57" s="3" t="s">
        <v>189</v>
      </c>
      <c r="E57" s="3" t="s">
        <v>190</v>
      </c>
      <c r="F57" s="3" t="s">
        <v>191</v>
      </c>
      <c r="G57" s="3" t="s">
        <v>192</v>
      </c>
    </row>
    <row r="58" spans="1:7" ht="30" customHeight="1" x14ac:dyDescent="0.25">
      <c r="A58" s="3">
        <v>3</v>
      </c>
      <c r="B58" s="3" t="s">
        <v>193</v>
      </c>
      <c r="C58" s="3" t="s">
        <v>143</v>
      </c>
      <c r="D58" s="3" t="s">
        <v>194</v>
      </c>
      <c r="E58" s="3" t="s">
        <v>195</v>
      </c>
      <c r="F58" s="3" t="s">
        <v>196</v>
      </c>
      <c r="G58" s="3" t="s">
        <v>197</v>
      </c>
    </row>
    <row r="59" spans="1:7" ht="17.25" customHeight="1" x14ac:dyDescent="0.25">
      <c r="A59" s="3">
        <v>4</v>
      </c>
      <c r="B59" s="3" t="s">
        <v>198</v>
      </c>
      <c r="C59" s="3" t="s">
        <v>199</v>
      </c>
      <c r="D59" s="3" t="s">
        <v>200</v>
      </c>
      <c r="E59" s="3" t="s">
        <v>201</v>
      </c>
      <c r="F59" s="3" t="s">
        <v>202</v>
      </c>
      <c r="G59" s="3" t="s">
        <v>203</v>
      </c>
    </row>
    <row r="61" spans="1:7" ht="21.95" customHeight="1" x14ac:dyDescent="0.25">
      <c r="A61" s="23" t="s">
        <v>204</v>
      </c>
      <c r="B61" s="24"/>
      <c r="C61" s="24"/>
      <c r="D61" s="24"/>
      <c r="E61" s="24"/>
      <c r="F61" s="24"/>
      <c r="G61" s="24"/>
    </row>
    <row r="62" spans="1:7" ht="15.6" customHeight="1" x14ac:dyDescent="0.25">
      <c r="A62" s="25" t="s">
        <v>205</v>
      </c>
      <c r="B62" s="24"/>
      <c r="C62" s="24"/>
      <c r="D62" s="24"/>
      <c r="E62" s="24"/>
      <c r="F62" s="24"/>
      <c r="G62" s="24"/>
    </row>
    <row r="63" spans="1:7" ht="30" customHeight="1" x14ac:dyDescent="0.25">
      <c r="A63" s="1" t="s">
        <v>3</v>
      </c>
      <c r="B63" s="1" t="s">
        <v>175</v>
      </c>
      <c r="C63" s="1" t="s">
        <v>176</v>
      </c>
      <c r="D63" s="1" t="s">
        <v>177</v>
      </c>
      <c r="E63" s="1" t="s">
        <v>178</v>
      </c>
      <c r="F63" s="1" t="s">
        <v>179</v>
      </c>
      <c r="G63" s="1" t="s">
        <v>180</v>
      </c>
    </row>
    <row r="64" spans="1:7" ht="30" customHeight="1" x14ac:dyDescent="0.25">
      <c r="A64" s="3">
        <v>1</v>
      </c>
      <c r="B64" s="3" t="s">
        <v>206</v>
      </c>
      <c r="C64" s="3" t="s">
        <v>207</v>
      </c>
      <c r="D64" s="3" t="s">
        <v>208</v>
      </c>
      <c r="E64" s="3" t="s">
        <v>209</v>
      </c>
      <c r="F64" s="3" t="s">
        <v>210</v>
      </c>
      <c r="G64" s="3" t="s">
        <v>211</v>
      </c>
    </row>
    <row r="65" spans="1:7" ht="30" customHeight="1" x14ac:dyDescent="0.25">
      <c r="A65" s="3">
        <v>2</v>
      </c>
      <c r="B65" s="3" t="s">
        <v>212</v>
      </c>
      <c r="C65" s="3" t="s">
        <v>213</v>
      </c>
      <c r="D65" s="3" t="s">
        <v>214</v>
      </c>
      <c r="E65" s="3" t="s">
        <v>215</v>
      </c>
      <c r="F65" s="3" t="s">
        <v>216</v>
      </c>
      <c r="G65" s="3" t="s">
        <v>217</v>
      </c>
    </row>
    <row r="66" spans="1:7" ht="30" customHeight="1" x14ac:dyDescent="0.25">
      <c r="A66" s="3">
        <v>3</v>
      </c>
      <c r="B66" s="3" t="s">
        <v>218</v>
      </c>
      <c r="C66" s="3" t="s">
        <v>219</v>
      </c>
      <c r="D66" s="3" t="s">
        <v>220</v>
      </c>
      <c r="E66" s="3" t="s">
        <v>221</v>
      </c>
      <c r="F66" s="3" t="s">
        <v>222</v>
      </c>
      <c r="G66" s="3" t="s">
        <v>217</v>
      </c>
    </row>
    <row r="67" spans="1:7" ht="30" customHeight="1" x14ac:dyDescent="0.25">
      <c r="A67" s="3">
        <v>4</v>
      </c>
      <c r="B67" s="3" t="s">
        <v>223</v>
      </c>
      <c r="C67" s="3" t="s">
        <v>224</v>
      </c>
      <c r="D67" s="3" t="s">
        <v>225</v>
      </c>
      <c r="E67" s="3" t="s">
        <v>226</v>
      </c>
      <c r="F67" s="3" t="s">
        <v>227</v>
      </c>
      <c r="G67" s="3" t="s">
        <v>197</v>
      </c>
    </row>
    <row r="68" spans="1:7" ht="30" customHeight="1" x14ac:dyDescent="0.25">
      <c r="A68" s="3">
        <v>5</v>
      </c>
      <c r="B68" s="3" t="s">
        <v>228</v>
      </c>
      <c r="C68" s="3" t="s">
        <v>229</v>
      </c>
      <c r="D68" s="3" t="s">
        <v>230</v>
      </c>
      <c r="E68" s="3" t="s">
        <v>231</v>
      </c>
      <c r="F68" s="3" t="s">
        <v>232</v>
      </c>
      <c r="G68" s="3" t="s">
        <v>233</v>
      </c>
    </row>
    <row r="69" spans="1:7" ht="30" customHeight="1" x14ac:dyDescent="0.25">
      <c r="A69" s="3">
        <v>6</v>
      </c>
      <c r="B69" s="3" t="s">
        <v>234</v>
      </c>
      <c r="C69" s="3" t="s">
        <v>235</v>
      </c>
      <c r="D69" s="3" t="s">
        <v>236</v>
      </c>
      <c r="E69" s="3" t="s">
        <v>237</v>
      </c>
      <c r="F69" s="3" t="s">
        <v>238</v>
      </c>
      <c r="G69" s="3" t="s">
        <v>217</v>
      </c>
    </row>
    <row r="70" spans="1:7" ht="30" customHeight="1" x14ac:dyDescent="0.25">
      <c r="A70" s="3">
        <v>7</v>
      </c>
      <c r="B70" s="3" t="s">
        <v>239</v>
      </c>
      <c r="C70" s="3" t="s">
        <v>240</v>
      </c>
      <c r="D70" s="3" t="s">
        <v>241</v>
      </c>
      <c r="E70" s="3" t="s">
        <v>242</v>
      </c>
      <c r="F70" s="3" t="s">
        <v>243</v>
      </c>
      <c r="G70" s="3" t="s">
        <v>217</v>
      </c>
    </row>
    <row r="72" spans="1:7" ht="21.95" customHeight="1" x14ac:dyDescent="0.25">
      <c r="A72" s="23" t="s">
        <v>244</v>
      </c>
      <c r="B72" s="24"/>
      <c r="C72" s="24"/>
      <c r="D72" s="24"/>
      <c r="E72" s="24"/>
      <c r="F72" s="24"/>
      <c r="G72" s="24"/>
    </row>
    <row r="73" spans="1:7" ht="15.6" customHeight="1" x14ac:dyDescent="0.25">
      <c r="A73" s="25" t="s">
        <v>245</v>
      </c>
      <c r="B73" s="24"/>
      <c r="C73" s="24"/>
      <c r="D73" s="24"/>
      <c r="E73" s="24"/>
      <c r="F73" s="24"/>
      <c r="G73" s="24"/>
    </row>
    <row r="74" spans="1:7" ht="30" customHeight="1" x14ac:dyDescent="0.25">
      <c r="A74" s="1" t="s">
        <v>3</v>
      </c>
      <c r="B74" s="1" t="s">
        <v>175</v>
      </c>
      <c r="C74" s="1" t="s">
        <v>176</v>
      </c>
      <c r="D74" s="1" t="s">
        <v>177</v>
      </c>
      <c r="E74" s="1" t="s">
        <v>178</v>
      </c>
      <c r="F74" s="1" t="s">
        <v>179</v>
      </c>
      <c r="G74" s="1" t="s">
        <v>180</v>
      </c>
    </row>
    <row r="75" spans="1:7" ht="30" customHeight="1" x14ac:dyDescent="0.25">
      <c r="A75" s="3">
        <v>1</v>
      </c>
      <c r="B75" s="3" t="s">
        <v>246</v>
      </c>
      <c r="C75" s="3" t="s">
        <v>247</v>
      </c>
      <c r="D75" s="3" t="s">
        <v>248</v>
      </c>
      <c r="E75" s="3" t="s">
        <v>249</v>
      </c>
      <c r="F75" s="3" t="s">
        <v>250</v>
      </c>
      <c r="G75" s="3" t="s">
        <v>251</v>
      </c>
    </row>
    <row r="76" spans="1:7" ht="42.95" customHeight="1" x14ac:dyDescent="0.25">
      <c r="A76" s="3">
        <v>2</v>
      </c>
      <c r="B76" s="3" t="s">
        <v>252</v>
      </c>
      <c r="C76" s="3" t="s">
        <v>253</v>
      </c>
      <c r="D76" s="3" t="s">
        <v>254</v>
      </c>
      <c r="E76" s="3" t="s">
        <v>255</v>
      </c>
      <c r="F76" s="3" t="s">
        <v>256</v>
      </c>
      <c r="G76" s="3" t="s">
        <v>257</v>
      </c>
    </row>
    <row r="77" spans="1:7" ht="30" customHeight="1" x14ac:dyDescent="0.25">
      <c r="A77" s="3">
        <v>3</v>
      </c>
      <c r="B77" s="3" t="s">
        <v>258</v>
      </c>
      <c r="C77" s="3" t="s">
        <v>259</v>
      </c>
      <c r="D77" s="3" t="s">
        <v>260</v>
      </c>
      <c r="E77" s="3" t="s">
        <v>261</v>
      </c>
      <c r="F77" s="3" t="s">
        <v>262</v>
      </c>
      <c r="G77" s="3" t="s">
        <v>263</v>
      </c>
    </row>
    <row r="78" spans="1:7" ht="30" customHeight="1" x14ac:dyDescent="0.25">
      <c r="A78" s="3">
        <v>4</v>
      </c>
      <c r="B78" s="3" t="s">
        <v>264</v>
      </c>
      <c r="C78" s="3" t="s">
        <v>240</v>
      </c>
      <c r="D78" s="3" t="s">
        <v>265</v>
      </c>
      <c r="E78" s="3" t="s">
        <v>266</v>
      </c>
      <c r="F78" s="3" t="s">
        <v>267</v>
      </c>
      <c r="G78" s="3" t="s">
        <v>268</v>
      </c>
    </row>
    <row r="80" spans="1:7" ht="21.95" customHeight="1" x14ac:dyDescent="0.25">
      <c r="A80" s="23" t="s">
        <v>269</v>
      </c>
      <c r="B80" s="24"/>
      <c r="C80" s="24"/>
      <c r="D80" s="24"/>
      <c r="E80" s="24"/>
      <c r="F80" s="24"/>
      <c r="G80" s="24"/>
    </row>
    <row r="81" spans="1:7" ht="15.6" customHeight="1" x14ac:dyDescent="0.25">
      <c r="A81" s="25" t="s">
        <v>270</v>
      </c>
      <c r="B81" s="24"/>
      <c r="C81" s="24"/>
      <c r="D81" s="24"/>
      <c r="E81" s="24"/>
      <c r="F81" s="24"/>
      <c r="G81" s="24"/>
    </row>
    <row r="82" spans="1:7" ht="30" customHeight="1" x14ac:dyDescent="0.25">
      <c r="A82" s="1" t="s">
        <v>3</v>
      </c>
      <c r="B82" s="1" t="s">
        <v>175</v>
      </c>
      <c r="C82" s="1" t="s">
        <v>176</v>
      </c>
      <c r="D82" s="1" t="s">
        <v>177</v>
      </c>
      <c r="E82" s="1" t="s">
        <v>178</v>
      </c>
      <c r="F82" s="1" t="s">
        <v>179</v>
      </c>
      <c r="G82" s="1" t="s">
        <v>180</v>
      </c>
    </row>
    <row r="83" spans="1:7" ht="30" customHeight="1" x14ac:dyDescent="0.25">
      <c r="A83" s="3">
        <v>1</v>
      </c>
      <c r="B83" s="3" t="s">
        <v>271</v>
      </c>
      <c r="C83" s="3" t="s">
        <v>272</v>
      </c>
      <c r="D83" s="3" t="s">
        <v>273</v>
      </c>
      <c r="E83" s="3" t="s">
        <v>274</v>
      </c>
      <c r="F83" s="3" t="s">
        <v>275</v>
      </c>
      <c r="G83" s="3" t="s">
        <v>217</v>
      </c>
    </row>
    <row r="84" spans="1:7" ht="30" customHeight="1" x14ac:dyDescent="0.25">
      <c r="A84" s="3">
        <v>2</v>
      </c>
      <c r="B84" s="3" t="s">
        <v>276</v>
      </c>
      <c r="C84" s="3" t="s">
        <v>277</v>
      </c>
      <c r="D84" s="3" t="s">
        <v>278</v>
      </c>
      <c r="E84" s="3" t="s">
        <v>279</v>
      </c>
      <c r="F84" s="3" t="s">
        <v>280</v>
      </c>
      <c r="G84" s="3" t="s">
        <v>281</v>
      </c>
    </row>
    <row r="85" spans="1:7" ht="42.95" customHeight="1" x14ac:dyDescent="0.25">
      <c r="A85" s="3">
        <v>3</v>
      </c>
      <c r="B85" s="3" t="s">
        <v>282</v>
      </c>
      <c r="C85" s="3" t="s">
        <v>283</v>
      </c>
      <c r="D85" s="3" t="s">
        <v>284</v>
      </c>
      <c r="E85" s="3" t="s">
        <v>285</v>
      </c>
      <c r="F85" s="3" t="s">
        <v>286</v>
      </c>
      <c r="G85" s="3" t="s">
        <v>287</v>
      </c>
    </row>
    <row r="86" spans="1:7" ht="17.25" customHeight="1" x14ac:dyDescent="0.25">
      <c r="A86" s="3">
        <v>4</v>
      </c>
      <c r="B86" s="3" t="s">
        <v>288</v>
      </c>
      <c r="C86" s="3" t="s">
        <v>289</v>
      </c>
      <c r="D86" s="3" t="s">
        <v>290</v>
      </c>
      <c r="E86" s="3" t="s">
        <v>291</v>
      </c>
      <c r="F86" s="3" t="s">
        <v>292</v>
      </c>
      <c r="G86" s="3" t="s">
        <v>186</v>
      </c>
    </row>
    <row r="88" spans="1:7" ht="21.95" customHeight="1" x14ac:dyDescent="0.25">
      <c r="A88" s="23" t="s">
        <v>293</v>
      </c>
      <c r="B88" s="24"/>
      <c r="C88" s="24"/>
      <c r="D88" s="24"/>
      <c r="E88" s="24"/>
      <c r="F88" s="24"/>
      <c r="G88" s="24"/>
    </row>
    <row r="89" spans="1:7" ht="30" customHeight="1" x14ac:dyDescent="0.25">
      <c r="A89" s="1" t="s">
        <v>3</v>
      </c>
      <c r="B89" s="1" t="s">
        <v>294</v>
      </c>
      <c r="C89" s="1" t="s">
        <v>295</v>
      </c>
      <c r="D89" s="1" t="s">
        <v>296</v>
      </c>
      <c r="E89" s="1" t="s">
        <v>297</v>
      </c>
      <c r="F89" s="1" t="s">
        <v>298</v>
      </c>
      <c r="G89" s="1" t="s">
        <v>299</v>
      </c>
    </row>
    <row r="90" spans="1:7" ht="42.95" customHeight="1" x14ac:dyDescent="0.25">
      <c r="A90" s="3">
        <v>1</v>
      </c>
      <c r="B90" s="3" t="s">
        <v>300</v>
      </c>
      <c r="C90" s="5" t="s">
        <v>301</v>
      </c>
      <c r="D90" s="3" t="s">
        <v>302</v>
      </c>
      <c r="E90" s="3" t="s">
        <v>303</v>
      </c>
      <c r="F90" s="3" t="s">
        <v>304</v>
      </c>
      <c r="G90" s="3" t="s">
        <v>305</v>
      </c>
    </row>
    <row r="91" spans="1:7" ht="30" customHeight="1" x14ac:dyDescent="0.25">
      <c r="A91" s="3">
        <v>2</v>
      </c>
      <c r="B91" s="3" t="s">
        <v>300</v>
      </c>
      <c r="C91" s="5" t="s">
        <v>306</v>
      </c>
      <c r="D91" s="3" t="s">
        <v>307</v>
      </c>
      <c r="E91" s="3" t="s">
        <v>308</v>
      </c>
      <c r="F91" s="3" t="s">
        <v>309</v>
      </c>
      <c r="G91" s="3" t="s">
        <v>211</v>
      </c>
    </row>
    <row r="92" spans="1:7" ht="30" customHeight="1" x14ac:dyDescent="0.25">
      <c r="A92" s="3">
        <v>3</v>
      </c>
      <c r="B92" s="3" t="s">
        <v>300</v>
      </c>
      <c r="C92" s="5" t="s">
        <v>310</v>
      </c>
      <c r="D92" s="3" t="s">
        <v>311</v>
      </c>
      <c r="E92" s="3" t="s">
        <v>312</v>
      </c>
      <c r="F92" s="3" t="s">
        <v>313</v>
      </c>
      <c r="G92" s="3" t="s">
        <v>211</v>
      </c>
    </row>
    <row r="93" spans="1:7" ht="30" customHeight="1" x14ac:dyDescent="0.25">
      <c r="A93" s="3">
        <v>4</v>
      </c>
      <c r="B93" s="3" t="s">
        <v>300</v>
      </c>
      <c r="C93" s="5" t="s">
        <v>314</v>
      </c>
      <c r="D93" s="3" t="s">
        <v>315</v>
      </c>
      <c r="E93" s="3" t="s">
        <v>316</v>
      </c>
      <c r="F93" s="3" t="s">
        <v>317</v>
      </c>
      <c r="G93" s="3" t="s">
        <v>305</v>
      </c>
    </row>
    <row r="94" spans="1:7" ht="30" customHeight="1" x14ac:dyDescent="0.25">
      <c r="A94" s="3">
        <v>5</v>
      </c>
      <c r="B94" s="3" t="s">
        <v>300</v>
      </c>
      <c r="C94" s="5" t="s">
        <v>318</v>
      </c>
      <c r="D94" s="3" t="s">
        <v>319</v>
      </c>
      <c r="E94" s="3" t="s">
        <v>320</v>
      </c>
      <c r="F94" s="3" t="s">
        <v>321</v>
      </c>
      <c r="G94" s="3" t="s">
        <v>305</v>
      </c>
    </row>
    <row r="95" spans="1:7" ht="30" customHeight="1" x14ac:dyDescent="0.25">
      <c r="A95" s="3">
        <v>6</v>
      </c>
      <c r="B95" s="3" t="s">
        <v>300</v>
      </c>
      <c r="C95" s="5" t="s">
        <v>322</v>
      </c>
      <c r="D95" s="3" t="s">
        <v>323</v>
      </c>
      <c r="E95" s="3" t="s">
        <v>324</v>
      </c>
      <c r="F95" s="3" t="s">
        <v>325</v>
      </c>
      <c r="G95" s="3" t="s">
        <v>305</v>
      </c>
    </row>
    <row r="96" spans="1:7" ht="30" customHeight="1" x14ac:dyDescent="0.25">
      <c r="A96" s="3">
        <v>7</v>
      </c>
      <c r="B96" s="3" t="s">
        <v>300</v>
      </c>
      <c r="C96" s="5" t="s">
        <v>326</v>
      </c>
      <c r="D96" s="3" t="s">
        <v>327</v>
      </c>
      <c r="E96" s="3" t="s">
        <v>328</v>
      </c>
      <c r="F96" s="3" t="s">
        <v>329</v>
      </c>
      <c r="G96" s="3" t="s">
        <v>211</v>
      </c>
    </row>
    <row r="97" spans="1:7" ht="30" customHeight="1" x14ac:dyDescent="0.25">
      <c r="A97" s="3">
        <v>8</v>
      </c>
      <c r="B97" s="3" t="s">
        <v>300</v>
      </c>
      <c r="C97" s="5" t="s">
        <v>330</v>
      </c>
      <c r="D97" s="3" t="s">
        <v>331</v>
      </c>
      <c r="E97" s="3" t="s">
        <v>332</v>
      </c>
      <c r="F97" s="3" t="s">
        <v>333</v>
      </c>
      <c r="G97" s="3" t="s">
        <v>211</v>
      </c>
    </row>
    <row r="98" spans="1:7" ht="30" customHeight="1" x14ac:dyDescent="0.25">
      <c r="A98" s="3">
        <v>9</v>
      </c>
      <c r="B98" s="3" t="s">
        <v>300</v>
      </c>
      <c r="C98" s="5" t="s">
        <v>334</v>
      </c>
      <c r="D98" s="3" t="s">
        <v>335</v>
      </c>
      <c r="E98" s="3" t="s">
        <v>336</v>
      </c>
      <c r="F98" s="3" t="s">
        <v>337</v>
      </c>
      <c r="G98" s="3" t="s">
        <v>211</v>
      </c>
    </row>
    <row r="99" spans="1:7" ht="30" customHeight="1" x14ac:dyDescent="0.25">
      <c r="A99" s="3">
        <v>10</v>
      </c>
      <c r="B99" s="3" t="s">
        <v>338</v>
      </c>
      <c r="C99" s="5" t="s">
        <v>339</v>
      </c>
      <c r="D99" s="3" t="s">
        <v>340</v>
      </c>
      <c r="E99" s="3" t="s">
        <v>341</v>
      </c>
      <c r="F99" s="3" t="s">
        <v>342</v>
      </c>
      <c r="G99" s="3" t="s">
        <v>305</v>
      </c>
    </row>
    <row r="100" spans="1:7" ht="30" customHeight="1" x14ac:dyDescent="0.25">
      <c r="A100" s="3">
        <v>11</v>
      </c>
      <c r="B100" s="3" t="s">
        <v>300</v>
      </c>
      <c r="C100" s="5" t="s">
        <v>343</v>
      </c>
      <c r="D100" s="3" t="s">
        <v>344</v>
      </c>
      <c r="E100" s="3" t="s">
        <v>345</v>
      </c>
      <c r="F100" s="3" t="s">
        <v>346</v>
      </c>
      <c r="G100" s="3" t="s">
        <v>305</v>
      </c>
    </row>
    <row r="101" spans="1:7" ht="30" customHeight="1" x14ac:dyDescent="0.25">
      <c r="A101" s="3">
        <v>12</v>
      </c>
      <c r="B101" s="3" t="s">
        <v>300</v>
      </c>
      <c r="C101" s="5" t="s">
        <v>347</v>
      </c>
      <c r="D101" s="3" t="s">
        <v>348</v>
      </c>
      <c r="E101" s="3" t="s">
        <v>349</v>
      </c>
      <c r="F101" s="3" t="s">
        <v>350</v>
      </c>
      <c r="G101" s="3" t="s">
        <v>305</v>
      </c>
    </row>
    <row r="102" spans="1:7" ht="30" customHeight="1" x14ac:dyDescent="0.25">
      <c r="A102" s="3">
        <v>13</v>
      </c>
      <c r="B102" s="3" t="s">
        <v>338</v>
      </c>
      <c r="C102" s="5" t="s">
        <v>351</v>
      </c>
      <c r="D102" s="3" t="s">
        <v>352</v>
      </c>
      <c r="E102" s="3" t="s">
        <v>353</v>
      </c>
      <c r="F102" s="3" t="s">
        <v>354</v>
      </c>
      <c r="G102" s="3" t="s">
        <v>305</v>
      </c>
    </row>
    <row r="103" spans="1:7" ht="30" customHeight="1" x14ac:dyDescent="0.25">
      <c r="A103" s="3">
        <v>14</v>
      </c>
      <c r="B103" s="3" t="s">
        <v>338</v>
      </c>
      <c r="C103" s="5" t="s">
        <v>355</v>
      </c>
      <c r="D103" s="3" t="s">
        <v>356</v>
      </c>
      <c r="E103" s="3" t="s">
        <v>357</v>
      </c>
      <c r="F103" s="3" t="s">
        <v>358</v>
      </c>
      <c r="G103" s="3" t="s">
        <v>211</v>
      </c>
    </row>
    <row r="104" spans="1:7" ht="30" customHeight="1" x14ac:dyDescent="0.25">
      <c r="A104" s="3">
        <v>15</v>
      </c>
      <c r="B104" s="3" t="s">
        <v>338</v>
      </c>
      <c r="C104" s="5" t="s">
        <v>359</v>
      </c>
      <c r="D104" s="3" t="s">
        <v>360</v>
      </c>
      <c r="E104" s="3" t="s">
        <v>361</v>
      </c>
      <c r="F104" s="3" t="s">
        <v>362</v>
      </c>
      <c r="G104" s="3" t="s">
        <v>305</v>
      </c>
    </row>
    <row r="106" spans="1:7" ht="21.95" customHeight="1" x14ac:dyDescent="0.25">
      <c r="A106" s="23" t="s">
        <v>363</v>
      </c>
      <c r="B106" s="24"/>
      <c r="C106" s="24"/>
      <c r="D106" s="24"/>
      <c r="E106" s="24"/>
      <c r="F106" s="24"/>
      <c r="G106" s="24"/>
    </row>
    <row r="107" spans="1:7" ht="15.6" customHeight="1" x14ac:dyDescent="0.25">
      <c r="A107" s="25" t="s">
        <v>364</v>
      </c>
      <c r="B107" s="24"/>
      <c r="C107" s="24"/>
      <c r="D107" s="24"/>
      <c r="E107" s="24"/>
      <c r="F107" s="24"/>
      <c r="G107" s="24"/>
    </row>
    <row r="108" spans="1:7" ht="30" customHeight="1" x14ac:dyDescent="0.25">
      <c r="A108" s="1" t="s">
        <v>3</v>
      </c>
      <c r="B108" s="1" t="s">
        <v>41</v>
      </c>
      <c r="C108" s="26" t="s">
        <v>365</v>
      </c>
      <c r="D108" s="27"/>
      <c r="E108" s="27"/>
      <c r="F108" s="27"/>
      <c r="G108" s="1" t="s">
        <v>366</v>
      </c>
    </row>
    <row r="109" spans="1:7" ht="17.25" customHeight="1" x14ac:dyDescent="0.25">
      <c r="A109" s="3">
        <v>1</v>
      </c>
      <c r="B109" s="3" t="s">
        <v>367</v>
      </c>
      <c r="C109" s="21" t="s">
        <v>368</v>
      </c>
      <c r="D109" s="22"/>
      <c r="E109" s="22"/>
      <c r="F109" s="22"/>
      <c r="G109" s="12"/>
    </row>
    <row r="110" spans="1:7" ht="17.25" customHeight="1" x14ac:dyDescent="0.25">
      <c r="A110" s="3">
        <v>2</v>
      </c>
      <c r="B110" s="3" t="s">
        <v>367</v>
      </c>
      <c r="C110" s="21" t="s">
        <v>369</v>
      </c>
      <c r="D110" s="22"/>
      <c r="E110" s="22"/>
      <c r="F110" s="22"/>
      <c r="G110" s="12"/>
    </row>
    <row r="111" spans="1:7" ht="17.25" customHeight="1" x14ac:dyDescent="0.25">
      <c r="A111" s="3">
        <v>3</v>
      </c>
      <c r="B111" s="3" t="s">
        <v>367</v>
      </c>
      <c r="C111" s="21" t="s">
        <v>370</v>
      </c>
      <c r="D111" s="22"/>
      <c r="E111" s="22"/>
      <c r="F111" s="22"/>
      <c r="G111" s="12"/>
    </row>
    <row r="112" spans="1:7" ht="17.25" customHeight="1" x14ac:dyDescent="0.25">
      <c r="A112" s="3">
        <v>4</v>
      </c>
      <c r="B112" s="3" t="s">
        <v>367</v>
      </c>
      <c r="C112" s="21" t="s">
        <v>371</v>
      </c>
      <c r="D112" s="22"/>
      <c r="E112" s="22"/>
      <c r="F112" s="22"/>
      <c r="G112" s="12"/>
    </row>
    <row r="113" spans="1:7" ht="17.25" customHeight="1" x14ac:dyDescent="0.25">
      <c r="A113" s="3">
        <v>5</v>
      </c>
      <c r="B113" s="3" t="s">
        <v>367</v>
      </c>
      <c r="C113" s="21" t="s">
        <v>372</v>
      </c>
      <c r="D113" s="22"/>
      <c r="E113" s="22"/>
      <c r="F113" s="22"/>
      <c r="G113" s="12"/>
    </row>
    <row r="114" spans="1:7" ht="17.25" customHeight="1" x14ac:dyDescent="0.25">
      <c r="A114" s="3">
        <v>6</v>
      </c>
      <c r="B114" s="3" t="s">
        <v>367</v>
      </c>
      <c r="C114" s="21" t="s">
        <v>373</v>
      </c>
      <c r="D114" s="22"/>
      <c r="E114" s="22"/>
      <c r="F114" s="22"/>
      <c r="G114" s="12"/>
    </row>
    <row r="115" spans="1:7" ht="17.25" customHeight="1" x14ac:dyDescent="0.25">
      <c r="A115" s="3">
        <v>7</v>
      </c>
      <c r="B115" s="3" t="s">
        <v>367</v>
      </c>
      <c r="C115" s="21" t="s">
        <v>374</v>
      </c>
      <c r="D115" s="22"/>
      <c r="E115" s="22"/>
      <c r="F115" s="22"/>
      <c r="G115" s="12"/>
    </row>
    <row r="116" spans="1:7" ht="17.25" customHeight="1" x14ac:dyDescent="0.25">
      <c r="A116" s="3">
        <v>8</v>
      </c>
      <c r="B116" s="3" t="s">
        <v>375</v>
      </c>
      <c r="C116" s="21" t="s">
        <v>376</v>
      </c>
      <c r="D116" s="22"/>
      <c r="E116" s="22"/>
      <c r="F116" s="22"/>
      <c r="G116" s="12"/>
    </row>
    <row r="117" spans="1:7" ht="17.25" customHeight="1" x14ac:dyDescent="0.25">
      <c r="A117" s="3">
        <v>9</v>
      </c>
      <c r="B117" s="3" t="s">
        <v>375</v>
      </c>
      <c r="C117" s="21" t="s">
        <v>377</v>
      </c>
      <c r="D117" s="22"/>
      <c r="E117" s="22"/>
      <c r="F117" s="22"/>
      <c r="G117" s="12"/>
    </row>
    <row r="118" spans="1:7" ht="17.25" customHeight="1" x14ac:dyDescent="0.25">
      <c r="A118" s="3">
        <v>10</v>
      </c>
      <c r="B118" s="3" t="s">
        <v>375</v>
      </c>
      <c r="C118" s="21" t="s">
        <v>378</v>
      </c>
      <c r="D118" s="22"/>
      <c r="E118" s="22"/>
      <c r="F118" s="22"/>
      <c r="G118" s="12"/>
    </row>
    <row r="119" spans="1:7" ht="17.25" customHeight="1" x14ac:dyDescent="0.25">
      <c r="A119" s="3">
        <v>11</v>
      </c>
      <c r="B119" s="3" t="s">
        <v>379</v>
      </c>
      <c r="C119" s="21" t="s">
        <v>380</v>
      </c>
      <c r="D119" s="22"/>
      <c r="E119" s="22"/>
      <c r="F119" s="22"/>
      <c r="G119" s="12"/>
    </row>
    <row r="120" spans="1:7" ht="17.25" customHeight="1" x14ac:dyDescent="0.25">
      <c r="A120" s="3">
        <v>12</v>
      </c>
      <c r="B120" s="3" t="s">
        <v>379</v>
      </c>
      <c r="C120" s="21" t="s">
        <v>381</v>
      </c>
      <c r="D120" s="22"/>
      <c r="E120" s="22"/>
      <c r="F120" s="22"/>
      <c r="G120" s="12"/>
    </row>
    <row r="121" spans="1:7" ht="17.25" customHeight="1" x14ac:dyDescent="0.25">
      <c r="A121" s="3">
        <v>13</v>
      </c>
      <c r="B121" s="3" t="s">
        <v>379</v>
      </c>
      <c r="C121" s="21" t="s">
        <v>382</v>
      </c>
      <c r="D121" s="22"/>
      <c r="E121" s="22"/>
      <c r="F121" s="22"/>
      <c r="G121" s="12"/>
    </row>
    <row r="122" spans="1:7" ht="17.25" customHeight="1" x14ac:dyDescent="0.25">
      <c r="A122" s="3">
        <v>14</v>
      </c>
      <c r="B122" s="3" t="s">
        <v>379</v>
      </c>
      <c r="C122" s="21" t="s">
        <v>383</v>
      </c>
      <c r="D122" s="22"/>
      <c r="E122" s="22"/>
      <c r="F122" s="22"/>
      <c r="G122" s="12"/>
    </row>
    <row r="123" spans="1:7" ht="17.25" customHeight="1" x14ac:dyDescent="0.25">
      <c r="A123" s="3">
        <v>15</v>
      </c>
      <c r="B123" s="3" t="s">
        <v>379</v>
      </c>
      <c r="C123" s="21" t="s">
        <v>384</v>
      </c>
      <c r="D123" s="22"/>
      <c r="E123" s="22"/>
      <c r="F123" s="22"/>
      <c r="G123" s="12"/>
    </row>
    <row r="124" spans="1:7" ht="17.25" customHeight="1" x14ac:dyDescent="0.25">
      <c r="A124" s="3">
        <v>16</v>
      </c>
      <c r="B124" s="3" t="s">
        <v>379</v>
      </c>
      <c r="C124" s="21" t="s">
        <v>385</v>
      </c>
      <c r="D124" s="22"/>
      <c r="E124" s="22"/>
      <c r="F124" s="22"/>
      <c r="G124" s="12"/>
    </row>
  </sheetData>
  <mergeCells count="65">
    <mergeCell ref="A23:G23"/>
    <mergeCell ref="C117:F117"/>
    <mergeCell ref="C121:F121"/>
    <mergeCell ref="B6:C6"/>
    <mergeCell ref="C124:F124"/>
    <mergeCell ref="C118:F118"/>
    <mergeCell ref="A80:G80"/>
    <mergeCell ref="B15:C15"/>
    <mergeCell ref="E14:G14"/>
    <mergeCell ref="C114:F114"/>
    <mergeCell ref="B20:C20"/>
    <mergeCell ref="E8:G8"/>
    <mergeCell ref="E17:G17"/>
    <mergeCell ref="C115:F115"/>
    <mergeCell ref="C120:F120"/>
    <mergeCell ref="C123:F123"/>
    <mergeCell ref="E20:G20"/>
    <mergeCell ref="C116:F116"/>
    <mergeCell ref="A61:G61"/>
    <mergeCell ref="A1:G1"/>
    <mergeCell ref="A88:G88"/>
    <mergeCell ref="B19:C19"/>
    <mergeCell ref="C113:F113"/>
    <mergeCell ref="B10:C10"/>
    <mergeCell ref="E12:G12"/>
    <mergeCell ref="E18:G18"/>
    <mergeCell ref="A54:G54"/>
    <mergeCell ref="C109:F109"/>
    <mergeCell ref="C112:F112"/>
    <mergeCell ref="B9:C9"/>
    <mergeCell ref="E5:G5"/>
    <mergeCell ref="B5:C5"/>
    <mergeCell ref="A2:G2"/>
    <mergeCell ref="C119:F119"/>
    <mergeCell ref="C122:F122"/>
    <mergeCell ref="A22:G22"/>
    <mergeCell ref="A53:G53"/>
    <mergeCell ref="A4:G4"/>
    <mergeCell ref="A62:G62"/>
    <mergeCell ref="E9:G9"/>
    <mergeCell ref="A72:G72"/>
    <mergeCell ref="B18:C18"/>
    <mergeCell ref="A81:G81"/>
    <mergeCell ref="E15:G15"/>
    <mergeCell ref="E6:G6"/>
    <mergeCell ref="B12:C12"/>
    <mergeCell ref="C111:F111"/>
    <mergeCell ref="E11:G11"/>
    <mergeCell ref="B11:C11"/>
    <mergeCell ref="E10:G10"/>
    <mergeCell ref="C110:F110"/>
    <mergeCell ref="B16:C16"/>
    <mergeCell ref="E13:G13"/>
    <mergeCell ref="B7:C7"/>
    <mergeCell ref="E19:G19"/>
    <mergeCell ref="A106:G106"/>
    <mergeCell ref="B14:C14"/>
    <mergeCell ref="C108:F108"/>
    <mergeCell ref="B17:C17"/>
    <mergeCell ref="A73:G73"/>
    <mergeCell ref="B8:C8"/>
    <mergeCell ref="E7:G7"/>
    <mergeCell ref="A107:G107"/>
    <mergeCell ref="E16:G16"/>
    <mergeCell ref="B13:C13"/>
  </mergeCells>
  <dataValidations count="1">
    <dataValidation type="list" allowBlank="1" sqref="G109 G110 G111 G112 G113 G114 G115 G116 G117 G118 G119 G120 G121 G122 G123 G124" xr:uid="{00000000-0002-0000-0000-000000000000}">
      <formula1>"Có,Không"</formula1>
    </dataValidation>
  </dataValidations>
  <pageMargins left="0.75" right="0.75" top="1" bottom="1" header="0.5" footer="0.5"/>
  <pageSetup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W48"/>
  <sheetViews>
    <sheetView workbookViewId="0">
      <pane xSplit="2" ySplit="4" topLeftCell="C5" activePane="bottomRight" state="frozen"/>
      <selection pane="topRight"/>
      <selection pane="bottomLeft"/>
      <selection pane="bottomRight"/>
    </sheetView>
  </sheetViews>
  <sheetFormatPr defaultRowHeight="15" x14ac:dyDescent="0.25"/>
  <cols>
    <col min="1" max="1" width="13" customWidth="1"/>
    <col min="2" max="2" width="8" customWidth="1"/>
    <col min="3" max="3" width="15" customWidth="1"/>
    <col min="4" max="4" width="11" customWidth="1"/>
    <col min="5" max="5" width="30" customWidth="1"/>
    <col min="6" max="6" width="16" customWidth="1"/>
    <col min="7" max="7" width="30" customWidth="1"/>
    <col min="8" max="8" width="9" customWidth="1"/>
    <col min="9" max="9" width="11" customWidth="1"/>
    <col min="10" max="13" width="9" customWidth="1"/>
    <col min="14" max="14" width="10" customWidth="1"/>
    <col min="15" max="15" width="9" customWidth="1"/>
    <col min="16" max="16" width="7" customWidth="1"/>
    <col min="17" max="17" width="8" customWidth="1"/>
    <col min="18" max="19" width="10" customWidth="1"/>
    <col min="20" max="20" width="18" customWidth="1"/>
    <col min="21" max="21" width="10" customWidth="1"/>
    <col min="22" max="22" width="60" customWidth="1"/>
    <col min="23" max="23" width="38" customWidth="1"/>
  </cols>
  <sheetData>
    <row r="1" spans="1:23" ht="30" customHeight="1" x14ac:dyDescent="0.25">
      <c r="A1" s="28" t="s">
        <v>386</v>
      </c>
      <c r="B1" s="24"/>
      <c r="C1" s="24"/>
      <c r="D1" s="24"/>
      <c r="E1" s="24"/>
      <c r="F1" s="24"/>
      <c r="G1" s="24"/>
      <c r="H1" s="24"/>
      <c r="I1" s="24"/>
      <c r="J1" s="24"/>
      <c r="K1" s="24"/>
      <c r="L1" s="24"/>
      <c r="M1" s="24"/>
      <c r="N1" s="24"/>
      <c r="O1" s="24"/>
      <c r="P1" s="24"/>
      <c r="Q1" s="24"/>
      <c r="R1" s="24"/>
      <c r="S1" s="24"/>
      <c r="T1" s="24"/>
      <c r="U1" s="24"/>
      <c r="V1" s="24"/>
      <c r="W1" s="24"/>
    </row>
    <row r="2" spans="1:23" ht="16.5" customHeight="1" x14ac:dyDescent="0.25">
      <c r="A2" s="29" t="s">
        <v>387</v>
      </c>
      <c r="B2" s="24"/>
      <c r="C2" s="24"/>
      <c r="D2" s="24"/>
      <c r="E2" s="24"/>
      <c r="F2" s="24"/>
      <c r="G2" s="24"/>
      <c r="H2" s="24"/>
      <c r="I2" s="24"/>
      <c r="J2" s="24"/>
      <c r="K2" s="24"/>
      <c r="L2" s="24"/>
      <c r="M2" s="24"/>
      <c r="N2" s="24"/>
      <c r="O2" s="24"/>
      <c r="P2" s="24"/>
      <c r="Q2" s="24"/>
      <c r="R2" s="24"/>
      <c r="S2" s="24"/>
      <c r="T2" s="24"/>
      <c r="U2" s="24"/>
      <c r="V2" s="24"/>
      <c r="W2" s="24"/>
    </row>
    <row r="4" spans="1:23" ht="63.95" customHeight="1" x14ac:dyDescent="0.25">
      <c r="A4" s="1" t="s">
        <v>388</v>
      </c>
      <c r="B4" s="1" t="s">
        <v>389</v>
      </c>
      <c r="C4" s="1" t="s">
        <v>390</v>
      </c>
      <c r="D4" s="1" t="s">
        <v>391</v>
      </c>
      <c r="E4" s="1" t="s">
        <v>392</v>
      </c>
      <c r="F4" s="1" t="s">
        <v>58</v>
      </c>
      <c r="G4" s="1" t="s">
        <v>393</v>
      </c>
      <c r="H4" s="1" t="s">
        <v>394</v>
      </c>
      <c r="I4" s="1" t="s">
        <v>395</v>
      </c>
      <c r="J4" s="1" t="s">
        <v>396</v>
      </c>
      <c r="K4" s="1" t="s">
        <v>397</v>
      </c>
      <c r="L4" s="1" t="s">
        <v>398</v>
      </c>
      <c r="M4" s="1" t="s">
        <v>399</v>
      </c>
      <c r="N4" s="1" t="s">
        <v>400</v>
      </c>
      <c r="O4" s="1" t="s">
        <v>401</v>
      </c>
      <c r="P4" s="1" t="s">
        <v>402</v>
      </c>
      <c r="Q4" s="1" t="s">
        <v>403</v>
      </c>
      <c r="R4" s="1" t="s">
        <v>29</v>
      </c>
      <c r="S4" s="1" t="s">
        <v>404</v>
      </c>
      <c r="T4" s="1" t="s">
        <v>405</v>
      </c>
      <c r="U4" s="1" t="s">
        <v>199</v>
      </c>
      <c r="V4" s="1" t="s">
        <v>406</v>
      </c>
      <c r="W4" s="1" t="s">
        <v>407</v>
      </c>
    </row>
    <row r="5" spans="1:23" ht="81.95" customHeight="1" x14ac:dyDescent="0.25">
      <c r="A5" s="3" t="s">
        <v>408</v>
      </c>
      <c r="B5" s="3">
        <v>17</v>
      </c>
      <c r="C5" s="13" t="s">
        <v>409</v>
      </c>
      <c r="D5" s="14">
        <v>46298</v>
      </c>
      <c r="E5" s="3" t="s">
        <v>410</v>
      </c>
      <c r="F5" s="3" t="s">
        <v>411</v>
      </c>
      <c r="G5" s="3" t="s">
        <v>412</v>
      </c>
      <c r="H5" s="15">
        <v>2.9513888888888889E-4</v>
      </c>
      <c r="I5" s="16">
        <v>2100000</v>
      </c>
      <c r="J5" s="16">
        <v>28000</v>
      </c>
      <c r="K5" s="16">
        <v>520</v>
      </c>
      <c r="L5" s="16">
        <v>4900</v>
      </c>
      <c r="M5" s="17">
        <f t="shared" ref="M5:M34" si="0">J5/I5</f>
        <v>1.3333333333333334E-2</v>
      </c>
      <c r="N5" s="18">
        <f t="shared" ref="N5:N34" si="1">K5/I5*1000</f>
        <v>0.24761904761904763</v>
      </c>
      <c r="O5" s="19">
        <f t="shared" ref="O5:O34" si="2">L5/J5</f>
        <v>0.17499999999999999</v>
      </c>
      <c r="P5" s="3">
        <v>11</v>
      </c>
      <c r="Q5" s="18">
        <f t="shared" ref="Q5:Q34" si="3">IF(P5&gt;0,H5*86400/P5,"")</f>
        <v>2.3181818181818183</v>
      </c>
      <c r="R5" s="3" t="s">
        <v>413</v>
      </c>
      <c r="S5" s="3" t="s">
        <v>413</v>
      </c>
      <c r="T5" s="3" t="s">
        <v>414</v>
      </c>
      <c r="U5" s="3" t="s">
        <v>415</v>
      </c>
      <c r="V5" s="3" t="s">
        <v>416</v>
      </c>
      <c r="W5" s="3" t="s">
        <v>417</v>
      </c>
    </row>
    <row r="6" spans="1:23" ht="69" customHeight="1" x14ac:dyDescent="0.25">
      <c r="A6" s="3" t="s">
        <v>408</v>
      </c>
      <c r="B6" s="3">
        <v>80</v>
      </c>
      <c r="C6" s="13" t="s">
        <v>418</v>
      </c>
      <c r="D6" s="14">
        <v>46234</v>
      </c>
      <c r="E6" s="3" t="s">
        <v>419</v>
      </c>
      <c r="F6" s="3" t="s">
        <v>411</v>
      </c>
      <c r="G6" s="3" t="s">
        <v>420</v>
      </c>
      <c r="H6" s="15">
        <v>6.168981481481481E-4</v>
      </c>
      <c r="I6" s="16">
        <v>709000</v>
      </c>
      <c r="J6" s="16">
        <v>13900</v>
      </c>
      <c r="K6" s="16">
        <v>755</v>
      </c>
      <c r="L6" s="16">
        <v>2100</v>
      </c>
      <c r="M6" s="17">
        <f t="shared" si="0"/>
        <v>1.9605077574047954E-2</v>
      </c>
      <c r="N6" s="18">
        <f t="shared" si="1"/>
        <v>1.0648801128349787</v>
      </c>
      <c r="O6" s="19">
        <f t="shared" si="2"/>
        <v>0.15107913669064749</v>
      </c>
      <c r="P6" s="3">
        <v>3</v>
      </c>
      <c r="Q6" s="18">
        <f t="shared" si="3"/>
        <v>17.766666666666666</v>
      </c>
      <c r="R6" s="3" t="s">
        <v>421</v>
      </c>
      <c r="S6" s="3" t="s">
        <v>413</v>
      </c>
      <c r="T6" s="3" t="s">
        <v>422</v>
      </c>
      <c r="U6" s="3" t="s">
        <v>415</v>
      </c>
      <c r="V6" s="3" t="s">
        <v>423</v>
      </c>
      <c r="W6" s="3" t="s">
        <v>424</v>
      </c>
    </row>
    <row r="7" spans="1:23" ht="69" customHeight="1" x14ac:dyDescent="0.25">
      <c r="A7" s="3" t="s">
        <v>408</v>
      </c>
      <c r="B7" s="3">
        <v>82</v>
      </c>
      <c r="C7" s="13" t="s">
        <v>425</v>
      </c>
      <c r="D7" s="14">
        <v>46284</v>
      </c>
      <c r="E7" s="3" t="s">
        <v>426</v>
      </c>
      <c r="F7" s="3" t="s">
        <v>411</v>
      </c>
      <c r="G7" s="3" t="s">
        <v>427</v>
      </c>
      <c r="H7" s="15">
        <v>3.2523148148148152E-4</v>
      </c>
      <c r="I7" s="16">
        <v>670000</v>
      </c>
      <c r="J7" s="16">
        <v>8800</v>
      </c>
      <c r="K7" s="16">
        <v>531</v>
      </c>
      <c r="L7" s="16">
        <v>1300</v>
      </c>
      <c r="M7" s="17">
        <f t="shared" si="0"/>
        <v>1.3134328358208954E-2</v>
      </c>
      <c r="N7" s="18">
        <f t="shared" si="1"/>
        <v>0.79253731343283584</v>
      </c>
      <c r="O7" s="19">
        <f t="shared" si="2"/>
        <v>0.14772727272727273</v>
      </c>
      <c r="P7" s="3">
        <v>7</v>
      </c>
      <c r="Q7" s="18">
        <f t="shared" si="3"/>
        <v>4.0142857142857151</v>
      </c>
      <c r="R7" s="3" t="s">
        <v>413</v>
      </c>
      <c r="S7" s="3" t="s">
        <v>413</v>
      </c>
      <c r="T7" s="3" t="s">
        <v>422</v>
      </c>
      <c r="U7" s="3" t="s">
        <v>421</v>
      </c>
      <c r="V7" s="3" t="s">
        <v>428</v>
      </c>
      <c r="W7" s="3" t="s">
        <v>429</v>
      </c>
    </row>
    <row r="8" spans="1:23" ht="56.1" customHeight="1" x14ac:dyDescent="0.25">
      <c r="A8" s="3" t="s">
        <v>408</v>
      </c>
      <c r="B8" s="3">
        <v>103</v>
      </c>
      <c r="C8" s="13" t="s">
        <v>430</v>
      </c>
      <c r="D8" s="14">
        <v>46166</v>
      </c>
      <c r="E8" s="3" t="s">
        <v>431</v>
      </c>
      <c r="F8" s="3" t="s">
        <v>432</v>
      </c>
      <c r="G8" s="3" t="s">
        <v>433</v>
      </c>
      <c r="H8" s="15">
        <v>6.9444444444444447E-4</v>
      </c>
      <c r="I8" s="16">
        <v>514000</v>
      </c>
      <c r="J8" s="16">
        <v>6200</v>
      </c>
      <c r="K8" s="16">
        <v>335</v>
      </c>
      <c r="L8" s="16">
        <v>423</v>
      </c>
      <c r="M8" s="17">
        <f t="shared" si="0"/>
        <v>1.2062256809338522E-2</v>
      </c>
      <c r="N8" s="18">
        <f t="shared" si="1"/>
        <v>0.65175097276264593</v>
      </c>
      <c r="O8" s="19">
        <f t="shared" si="2"/>
        <v>6.82258064516129E-2</v>
      </c>
      <c r="P8" s="3">
        <v>9</v>
      </c>
      <c r="Q8" s="18">
        <f t="shared" si="3"/>
        <v>6.666666666666667</v>
      </c>
      <c r="R8" s="3" t="s">
        <v>421</v>
      </c>
      <c r="S8" s="3" t="s">
        <v>413</v>
      </c>
      <c r="T8" s="3" t="s">
        <v>415</v>
      </c>
      <c r="U8" s="3" t="s">
        <v>421</v>
      </c>
      <c r="V8" s="3" t="s">
        <v>434</v>
      </c>
      <c r="W8" s="3" t="s">
        <v>435</v>
      </c>
    </row>
    <row r="9" spans="1:23" ht="69" customHeight="1" x14ac:dyDescent="0.25">
      <c r="A9" s="3" t="s">
        <v>408</v>
      </c>
      <c r="B9" s="3">
        <v>120</v>
      </c>
      <c r="C9" s="13" t="s">
        <v>436</v>
      </c>
      <c r="D9" s="14">
        <v>46283</v>
      </c>
      <c r="E9" s="3" t="s">
        <v>437</v>
      </c>
      <c r="F9" s="3" t="s">
        <v>411</v>
      </c>
      <c r="G9" s="3" t="s">
        <v>438</v>
      </c>
      <c r="H9" s="15">
        <v>5.1620370370370372E-4</v>
      </c>
      <c r="I9" s="16">
        <v>433000</v>
      </c>
      <c r="J9" s="16">
        <v>8500</v>
      </c>
      <c r="K9" s="16">
        <v>413</v>
      </c>
      <c r="L9" s="16">
        <v>1300</v>
      </c>
      <c r="M9" s="17">
        <f t="shared" si="0"/>
        <v>1.9630484988452657E-2</v>
      </c>
      <c r="N9" s="18">
        <f t="shared" si="1"/>
        <v>0.95381062355658197</v>
      </c>
      <c r="O9" s="19">
        <f t="shared" si="2"/>
        <v>0.15294117647058825</v>
      </c>
      <c r="P9" s="3">
        <v>16</v>
      </c>
      <c r="Q9" s="18">
        <f t="shared" si="3"/>
        <v>2.7875000000000001</v>
      </c>
      <c r="R9" s="3" t="s">
        <v>413</v>
      </c>
      <c r="S9" s="3" t="s">
        <v>413</v>
      </c>
      <c r="T9" s="3" t="s">
        <v>422</v>
      </c>
      <c r="U9" s="3" t="s">
        <v>415</v>
      </c>
      <c r="V9" s="3" t="s">
        <v>439</v>
      </c>
      <c r="W9" s="3" t="s">
        <v>440</v>
      </c>
    </row>
    <row r="10" spans="1:23" ht="81.95" customHeight="1" x14ac:dyDescent="0.25">
      <c r="A10" s="3" t="s">
        <v>408</v>
      </c>
      <c r="B10" s="3">
        <v>133</v>
      </c>
      <c r="C10" s="13" t="s">
        <v>441</v>
      </c>
      <c r="D10" s="14">
        <v>46008</v>
      </c>
      <c r="E10" s="3" t="s">
        <v>442</v>
      </c>
      <c r="F10" s="3" t="s">
        <v>443</v>
      </c>
      <c r="G10" s="3" t="s">
        <v>444</v>
      </c>
      <c r="H10" s="15">
        <v>6.5972222222222224E-4</v>
      </c>
      <c r="I10" s="16">
        <v>368000</v>
      </c>
      <c r="J10" s="16">
        <v>4700</v>
      </c>
      <c r="K10" s="16">
        <v>265</v>
      </c>
      <c r="L10" s="16">
        <v>629</v>
      </c>
      <c r="M10" s="17">
        <f t="shared" si="0"/>
        <v>1.2771739130434783E-2</v>
      </c>
      <c r="N10" s="18">
        <f t="shared" si="1"/>
        <v>0.72010869565217395</v>
      </c>
      <c r="O10" s="19">
        <f t="shared" si="2"/>
        <v>0.13382978723404254</v>
      </c>
      <c r="P10" s="3">
        <v>1</v>
      </c>
      <c r="Q10" s="18">
        <f t="shared" si="3"/>
        <v>57</v>
      </c>
      <c r="R10" s="3" t="s">
        <v>413</v>
      </c>
      <c r="S10" s="3" t="s">
        <v>413</v>
      </c>
      <c r="T10" s="3" t="s">
        <v>445</v>
      </c>
      <c r="U10" s="3" t="s">
        <v>415</v>
      </c>
      <c r="V10" s="3" t="s">
        <v>446</v>
      </c>
      <c r="W10" s="3" t="s">
        <v>447</v>
      </c>
    </row>
    <row r="11" spans="1:23" ht="56.1" customHeight="1" x14ac:dyDescent="0.25">
      <c r="A11" s="3" t="s">
        <v>448</v>
      </c>
      <c r="B11" s="3">
        <v>37</v>
      </c>
      <c r="C11" s="13" t="s">
        <v>449</v>
      </c>
      <c r="D11" s="14">
        <v>46288</v>
      </c>
      <c r="E11" s="3" t="s">
        <v>450</v>
      </c>
      <c r="F11" s="3" t="s">
        <v>451</v>
      </c>
      <c r="G11" s="3" t="s">
        <v>452</v>
      </c>
      <c r="H11" s="15">
        <v>1.8148148148148149E-3</v>
      </c>
      <c r="I11" s="16">
        <v>1500000</v>
      </c>
      <c r="J11" s="16">
        <v>18600</v>
      </c>
      <c r="K11" s="16">
        <v>2300</v>
      </c>
      <c r="L11" s="16">
        <v>3500</v>
      </c>
      <c r="M11" s="17">
        <f t="shared" si="0"/>
        <v>1.24E-2</v>
      </c>
      <c r="N11" s="18">
        <f t="shared" si="1"/>
        <v>1.5333333333333334</v>
      </c>
      <c r="O11" s="19">
        <f t="shared" si="2"/>
        <v>0.18817204301075269</v>
      </c>
      <c r="P11" s="3">
        <v>5</v>
      </c>
      <c r="Q11" s="18">
        <f t="shared" si="3"/>
        <v>31.360000000000003</v>
      </c>
      <c r="R11" s="3" t="s">
        <v>413</v>
      </c>
      <c r="S11" s="3" t="s">
        <v>413</v>
      </c>
      <c r="T11" s="3" t="s">
        <v>415</v>
      </c>
      <c r="U11" s="3" t="s">
        <v>415</v>
      </c>
      <c r="V11" s="3" t="s">
        <v>453</v>
      </c>
      <c r="W11" s="3" t="s">
        <v>454</v>
      </c>
    </row>
    <row r="12" spans="1:23" ht="56.1" customHeight="1" x14ac:dyDescent="0.25">
      <c r="A12" s="3" t="s">
        <v>448</v>
      </c>
      <c r="B12" s="3">
        <v>51</v>
      </c>
      <c r="C12" s="13" t="s">
        <v>455</v>
      </c>
      <c r="D12" s="14">
        <v>46281</v>
      </c>
      <c r="E12" s="3" t="s">
        <v>456</v>
      </c>
      <c r="F12" s="3" t="s">
        <v>451</v>
      </c>
      <c r="G12" s="3" t="s">
        <v>457</v>
      </c>
      <c r="H12" s="15">
        <v>1.12962962962963E-3</v>
      </c>
      <c r="I12" s="16">
        <v>1200000</v>
      </c>
      <c r="J12" s="16">
        <v>9500</v>
      </c>
      <c r="K12" s="16">
        <v>457</v>
      </c>
      <c r="L12" s="16">
        <v>2200</v>
      </c>
      <c r="M12" s="17">
        <f t="shared" si="0"/>
        <v>7.9166666666666673E-3</v>
      </c>
      <c r="N12" s="18">
        <f t="shared" si="1"/>
        <v>0.38083333333333336</v>
      </c>
      <c r="O12" s="19">
        <f t="shared" si="2"/>
        <v>0.23157894736842105</v>
      </c>
      <c r="P12" s="3">
        <v>4</v>
      </c>
      <c r="Q12" s="18">
        <f t="shared" si="3"/>
        <v>24.400000000000006</v>
      </c>
      <c r="R12" s="3" t="s">
        <v>421</v>
      </c>
      <c r="S12" s="3" t="s">
        <v>413</v>
      </c>
      <c r="T12" s="3" t="s">
        <v>415</v>
      </c>
      <c r="U12" s="3" t="s">
        <v>415</v>
      </c>
      <c r="V12" s="3" t="s">
        <v>458</v>
      </c>
      <c r="W12" s="3" t="s">
        <v>459</v>
      </c>
    </row>
    <row r="13" spans="1:23" ht="69" customHeight="1" x14ac:dyDescent="0.25">
      <c r="A13" s="3" t="s">
        <v>448</v>
      </c>
      <c r="B13" s="3">
        <v>59</v>
      </c>
      <c r="C13" s="13" t="s">
        <v>460</v>
      </c>
      <c r="D13" s="14">
        <v>46255</v>
      </c>
      <c r="E13" s="3" t="s">
        <v>461</v>
      </c>
      <c r="F13" s="3" t="s">
        <v>451</v>
      </c>
      <c r="G13" s="3" t="s">
        <v>462</v>
      </c>
      <c r="H13" s="15">
        <v>1.3900462962962959E-3</v>
      </c>
      <c r="I13" s="16">
        <v>987000</v>
      </c>
      <c r="J13" s="16">
        <v>6600</v>
      </c>
      <c r="K13" s="16">
        <v>352</v>
      </c>
      <c r="L13" s="16">
        <v>2400</v>
      </c>
      <c r="M13" s="17">
        <f t="shared" si="0"/>
        <v>6.6869300911854106E-3</v>
      </c>
      <c r="N13" s="18">
        <f t="shared" si="1"/>
        <v>0.35663627152988853</v>
      </c>
      <c r="O13" s="19">
        <f t="shared" si="2"/>
        <v>0.36363636363636365</v>
      </c>
      <c r="P13" s="3">
        <v>5</v>
      </c>
      <c r="Q13" s="18">
        <f t="shared" si="3"/>
        <v>24.019999999999992</v>
      </c>
      <c r="R13" s="3" t="s">
        <v>421</v>
      </c>
      <c r="S13" s="3" t="s">
        <v>413</v>
      </c>
      <c r="T13" s="3" t="s">
        <v>415</v>
      </c>
      <c r="U13" s="3" t="s">
        <v>415</v>
      </c>
      <c r="V13" s="3" t="s">
        <v>463</v>
      </c>
      <c r="W13" s="3" t="s">
        <v>464</v>
      </c>
    </row>
    <row r="14" spans="1:23" ht="69" customHeight="1" x14ac:dyDescent="0.25">
      <c r="A14" s="3" t="s">
        <v>448</v>
      </c>
      <c r="B14" s="3">
        <v>78</v>
      </c>
      <c r="C14" s="13" t="s">
        <v>465</v>
      </c>
      <c r="D14" s="14">
        <v>46258</v>
      </c>
      <c r="E14" s="3" t="s">
        <v>466</v>
      </c>
      <c r="F14" s="3" t="s">
        <v>451</v>
      </c>
      <c r="G14" s="3" t="s">
        <v>467</v>
      </c>
      <c r="H14" s="15">
        <v>1.399305555555556E-3</v>
      </c>
      <c r="I14" s="16">
        <v>728000</v>
      </c>
      <c r="J14" s="16">
        <v>5800</v>
      </c>
      <c r="K14" s="16">
        <v>352</v>
      </c>
      <c r="L14" s="16">
        <v>1400</v>
      </c>
      <c r="M14" s="17">
        <f t="shared" si="0"/>
        <v>7.9670329670329665E-3</v>
      </c>
      <c r="N14" s="18">
        <f t="shared" si="1"/>
        <v>0.48351648351648352</v>
      </c>
      <c r="O14" s="19">
        <f t="shared" si="2"/>
        <v>0.2413793103448276</v>
      </c>
      <c r="P14" s="3">
        <v>3</v>
      </c>
      <c r="Q14" s="18">
        <f t="shared" si="3"/>
        <v>40.300000000000011</v>
      </c>
      <c r="R14" s="3" t="s">
        <v>421</v>
      </c>
      <c r="S14" s="3" t="s">
        <v>421</v>
      </c>
      <c r="T14" s="3" t="s">
        <v>468</v>
      </c>
      <c r="U14" s="3" t="s">
        <v>415</v>
      </c>
      <c r="V14" s="3" t="s">
        <v>469</v>
      </c>
      <c r="W14" s="3" t="s">
        <v>470</v>
      </c>
    </row>
    <row r="15" spans="1:23" ht="56.1" customHeight="1" x14ac:dyDescent="0.25">
      <c r="A15" s="3" t="s">
        <v>448</v>
      </c>
      <c r="B15" s="3">
        <v>107</v>
      </c>
      <c r="C15" s="13" t="s">
        <v>471</v>
      </c>
      <c r="D15" s="14">
        <v>46266</v>
      </c>
      <c r="E15" s="3" t="s">
        <v>472</v>
      </c>
      <c r="F15" s="3" t="s">
        <v>451</v>
      </c>
      <c r="G15" s="3" t="s">
        <v>473</v>
      </c>
      <c r="H15" s="15">
        <v>1.5740740740740741E-3</v>
      </c>
      <c r="I15" s="16">
        <v>505000</v>
      </c>
      <c r="J15" s="16">
        <v>6400</v>
      </c>
      <c r="K15" s="16">
        <v>492</v>
      </c>
      <c r="L15" s="16">
        <v>1800</v>
      </c>
      <c r="M15" s="17">
        <f t="shared" si="0"/>
        <v>1.2673267326732674E-2</v>
      </c>
      <c r="N15" s="18">
        <f t="shared" si="1"/>
        <v>0.97425742574257435</v>
      </c>
      <c r="O15" s="19">
        <f t="shared" si="2"/>
        <v>0.28125</v>
      </c>
      <c r="P15" s="3">
        <v>3</v>
      </c>
      <c r="Q15" s="18">
        <f t="shared" si="3"/>
        <v>45.333333333333336</v>
      </c>
      <c r="R15" s="3" t="s">
        <v>421</v>
      </c>
      <c r="S15" s="3" t="s">
        <v>413</v>
      </c>
      <c r="T15" s="3" t="s">
        <v>415</v>
      </c>
      <c r="U15" s="3" t="s">
        <v>415</v>
      </c>
      <c r="V15" s="3" t="s">
        <v>474</v>
      </c>
      <c r="W15" s="3" t="s">
        <v>475</v>
      </c>
    </row>
    <row r="16" spans="1:23" ht="56.1" customHeight="1" x14ac:dyDescent="0.25">
      <c r="A16" s="3" t="s">
        <v>448</v>
      </c>
      <c r="B16" s="3">
        <v>123</v>
      </c>
      <c r="C16" s="13" t="s">
        <v>476</v>
      </c>
      <c r="D16" s="14">
        <v>46196</v>
      </c>
      <c r="E16" s="3" t="s">
        <v>477</v>
      </c>
      <c r="F16" s="3" t="s">
        <v>451</v>
      </c>
      <c r="G16" s="3" t="s">
        <v>478</v>
      </c>
      <c r="H16" s="15">
        <v>1.506944444444444E-3</v>
      </c>
      <c r="I16" s="16">
        <v>410000</v>
      </c>
      <c r="J16" s="16">
        <v>5300</v>
      </c>
      <c r="K16" s="16">
        <v>332</v>
      </c>
      <c r="L16" s="16">
        <v>1000</v>
      </c>
      <c r="M16" s="17">
        <f t="shared" si="0"/>
        <v>1.2926829268292682E-2</v>
      </c>
      <c r="N16" s="18">
        <f t="shared" si="1"/>
        <v>0.80975609756097555</v>
      </c>
      <c r="O16" s="19">
        <f t="shared" si="2"/>
        <v>0.18867924528301888</v>
      </c>
      <c r="P16" s="3">
        <v>3</v>
      </c>
      <c r="Q16" s="18">
        <f t="shared" si="3"/>
        <v>43.399999999999984</v>
      </c>
      <c r="R16" s="3" t="s">
        <v>421</v>
      </c>
      <c r="S16" s="3" t="s">
        <v>413</v>
      </c>
      <c r="T16" s="3" t="s">
        <v>415</v>
      </c>
      <c r="U16" s="3" t="s">
        <v>415</v>
      </c>
      <c r="V16" s="3" t="s">
        <v>479</v>
      </c>
      <c r="W16" s="3" t="s">
        <v>480</v>
      </c>
    </row>
    <row r="17" spans="1:23" ht="69" customHeight="1" x14ac:dyDescent="0.25">
      <c r="A17" s="3" t="s">
        <v>448</v>
      </c>
      <c r="B17" s="3">
        <v>129</v>
      </c>
      <c r="C17" s="13" t="s">
        <v>481</v>
      </c>
      <c r="D17" s="14">
        <v>46207</v>
      </c>
      <c r="E17" s="3" t="s">
        <v>482</v>
      </c>
      <c r="F17" s="3" t="s">
        <v>432</v>
      </c>
      <c r="G17" s="3" t="s">
        <v>483</v>
      </c>
      <c r="H17" s="15">
        <v>1.4131944444444439E-3</v>
      </c>
      <c r="I17" s="16">
        <v>381000</v>
      </c>
      <c r="J17" s="16">
        <v>7200</v>
      </c>
      <c r="K17" s="16">
        <v>645</v>
      </c>
      <c r="L17" s="16">
        <v>1100</v>
      </c>
      <c r="M17" s="17">
        <f t="shared" si="0"/>
        <v>1.889763779527559E-2</v>
      </c>
      <c r="N17" s="18">
        <f t="shared" si="1"/>
        <v>1.6929133858267718</v>
      </c>
      <c r="O17" s="19">
        <f t="shared" si="2"/>
        <v>0.15277777777777779</v>
      </c>
      <c r="P17" s="3">
        <v>3</v>
      </c>
      <c r="Q17" s="18">
        <f t="shared" si="3"/>
        <v>40.699999999999982</v>
      </c>
      <c r="R17" s="3" t="s">
        <v>421</v>
      </c>
      <c r="S17" s="3" t="s">
        <v>413</v>
      </c>
      <c r="T17" s="3" t="s">
        <v>445</v>
      </c>
      <c r="U17" s="3" t="s">
        <v>421</v>
      </c>
      <c r="V17" s="3" t="s">
        <v>484</v>
      </c>
      <c r="W17" s="3" t="s">
        <v>485</v>
      </c>
    </row>
    <row r="18" spans="1:23" ht="69" customHeight="1" x14ac:dyDescent="0.25">
      <c r="A18" s="3" t="s">
        <v>448</v>
      </c>
      <c r="B18" s="3">
        <v>191</v>
      </c>
      <c r="C18" s="13" t="s">
        <v>486</v>
      </c>
      <c r="D18" s="14">
        <v>46019</v>
      </c>
      <c r="E18" s="3" t="s">
        <v>487</v>
      </c>
      <c r="F18" s="3" t="s">
        <v>488</v>
      </c>
      <c r="G18" s="3" t="s">
        <v>489</v>
      </c>
      <c r="H18" s="15">
        <v>8.564814814814815E-4</v>
      </c>
      <c r="I18" s="16">
        <v>201000</v>
      </c>
      <c r="J18" s="16">
        <v>3600</v>
      </c>
      <c r="K18" s="16">
        <v>204</v>
      </c>
      <c r="L18" s="16">
        <v>776</v>
      </c>
      <c r="M18" s="17">
        <f t="shared" si="0"/>
        <v>1.7910447761194031E-2</v>
      </c>
      <c r="N18" s="18">
        <f t="shared" si="1"/>
        <v>1.0149253731343284</v>
      </c>
      <c r="O18" s="19">
        <f t="shared" si="2"/>
        <v>0.21555555555555556</v>
      </c>
      <c r="P18" s="3">
        <v>1</v>
      </c>
      <c r="Q18" s="18">
        <f t="shared" si="3"/>
        <v>74</v>
      </c>
      <c r="R18" s="3" t="s">
        <v>421</v>
      </c>
      <c r="S18" s="3" t="s">
        <v>413</v>
      </c>
      <c r="T18" s="3" t="s">
        <v>490</v>
      </c>
      <c r="U18" s="3" t="s">
        <v>421</v>
      </c>
      <c r="V18" s="3" t="s">
        <v>491</v>
      </c>
      <c r="W18" s="3" t="s">
        <v>492</v>
      </c>
    </row>
    <row r="19" spans="1:23" ht="56.1" customHeight="1" x14ac:dyDescent="0.25">
      <c r="A19" s="3" t="s">
        <v>493</v>
      </c>
      <c r="B19" s="3">
        <v>102</v>
      </c>
      <c r="C19" s="13" t="s">
        <v>494</v>
      </c>
      <c r="D19" s="14">
        <v>46145</v>
      </c>
      <c r="E19" s="3" t="s">
        <v>495</v>
      </c>
      <c r="F19" s="3" t="s">
        <v>488</v>
      </c>
      <c r="G19" s="3" t="s">
        <v>496</v>
      </c>
      <c r="H19" s="15">
        <v>1.028935185185185E-3</v>
      </c>
      <c r="I19" s="16">
        <v>539000</v>
      </c>
      <c r="J19" s="16">
        <v>5800</v>
      </c>
      <c r="K19" s="16">
        <v>217</v>
      </c>
      <c r="L19" s="16">
        <v>462</v>
      </c>
      <c r="M19" s="17">
        <f t="shared" si="0"/>
        <v>1.0760667903525046E-2</v>
      </c>
      <c r="N19" s="18">
        <f t="shared" si="1"/>
        <v>0.40259740259740262</v>
      </c>
      <c r="O19" s="19">
        <f t="shared" si="2"/>
        <v>7.9655172413793107E-2</v>
      </c>
      <c r="P19" s="3">
        <v>3</v>
      </c>
      <c r="Q19" s="18">
        <f t="shared" si="3"/>
        <v>29.633333333333329</v>
      </c>
      <c r="R19" s="3" t="s">
        <v>421</v>
      </c>
      <c r="S19" s="3" t="s">
        <v>413</v>
      </c>
      <c r="T19" s="3" t="s">
        <v>415</v>
      </c>
      <c r="U19" s="3" t="s">
        <v>415</v>
      </c>
      <c r="V19" s="3" t="s">
        <v>497</v>
      </c>
      <c r="W19" s="3" t="s">
        <v>498</v>
      </c>
    </row>
    <row r="20" spans="1:23" ht="69" customHeight="1" x14ac:dyDescent="0.25">
      <c r="A20" s="3" t="s">
        <v>493</v>
      </c>
      <c r="B20" s="3">
        <v>127</v>
      </c>
      <c r="C20" s="13" t="s">
        <v>499</v>
      </c>
      <c r="D20" s="14">
        <v>46096</v>
      </c>
      <c r="E20" s="3" t="s">
        <v>500</v>
      </c>
      <c r="F20" s="3" t="s">
        <v>501</v>
      </c>
      <c r="G20" s="3" t="s">
        <v>502</v>
      </c>
      <c r="H20" s="15">
        <v>9.745370370370371E-4</v>
      </c>
      <c r="I20" s="16">
        <v>400000</v>
      </c>
      <c r="J20" s="16">
        <v>7800</v>
      </c>
      <c r="K20" s="16">
        <v>682</v>
      </c>
      <c r="L20" s="16">
        <v>616</v>
      </c>
      <c r="M20" s="17">
        <f t="shared" si="0"/>
        <v>1.95E-2</v>
      </c>
      <c r="N20" s="18">
        <f t="shared" si="1"/>
        <v>1.7049999999999998</v>
      </c>
      <c r="O20" s="19">
        <f t="shared" si="2"/>
        <v>7.8974358974358977E-2</v>
      </c>
      <c r="P20" s="3">
        <v>1</v>
      </c>
      <c r="Q20" s="18">
        <f t="shared" si="3"/>
        <v>84.2</v>
      </c>
      <c r="R20" s="3" t="s">
        <v>421</v>
      </c>
      <c r="S20" s="3" t="s">
        <v>413</v>
      </c>
      <c r="T20" s="3" t="s">
        <v>415</v>
      </c>
      <c r="U20" s="3" t="s">
        <v>415</v>
      </c>
      <c r="V20" s="3" t="s">
        <v>503</v>
      </c>
      <c r="W20" s="3" t="s">
        <v>504</v>
      </c>
    </row>
    <row r="21" spans="1:23" ht="81.95" customHeight="1" x14ac:dyDescent="0.25">
      <c r="A21" s="3" t="s">
        <v>493</v>
      </c>
      <c r="B21" s="3">
        <v>149</v>
      </c>
      <c r="C21" s="13" t="s">
        <v>505</v>
      </c>
      <c r="D21" s="14">
        <v>46172</v>
      </c>
      <c r="E21" s="3" t="s">
        <v>506</v>
      </c>
      <c r="F21" s="3" t="s">
        <v>501</v>
      </c>
      <c r="G21" s="3" t="s">
        <v>507</v>
      </c>
      <c r="H21" s="15">
        <v>1.9548611111111112E-3</v>
      </c>
      <c r="I21" s="16">
        <v>305000</v>
      </c>
      <c r="J21" s="16">
        <v>2400</v>
      </c>
      <c r="K21" s="16">
        <v>1400</v>
      </c>
      <c r="L21" s="16">
        <v>248</v>
      </c>
      <c r="M21" s="17">
        <f t="shared" si="0"/>
        <v>7.8688524590163934E-3</v>
      </c>
      <c r="N21" s="18">
        <f t="shared" si="1"/>
        <v>4.5901639344262293</v>
      </c>
      <c r="O21" s="19">
        <f t="shared" si="2"/>
        <v>0.10333333333333333</v>
      </c>
      <c r="P21" s="3">
        <v>0</v>
      </c>
      <c r="Q21" s="18" t="str">
        <f t="shared" si="3"/>
        <v/>
      </c>
      <c r="R21" s="3" t="s">
        <v>421</v>
      </c>
      <c r="S21" s="3" t="s">
        <v>508</v>
      </c>
      <c r="T21" s="3" t="s">
        <v>415</v>
      </c>
      <c r="U21" s="3" t="s">
        <v>421</v>
      </c>
      <c r="V21" s="3" t="s">
        <v>509</v>
      </c>
      <c r="W21" s="3" t="s">
        <v>510</v>
      </c>
    </row>
    <row r="22" spans="1:23" ht="69" customHeight="1" x14ac:dyDescent="0.25">
      <c r="A22" s="3" t="s">
        <v>493</v>
      </c>
      <c r="B22" s="3">
        <v>184</v>
      </c>
      <c r="C22" s="13" t="s">
        <v>511</v>
      </c>
      <c r="D22" s="14">
        <v>46105</v>
      </c>
      <c r="E22" s="3" t="s">
        <v>512</v>
      </c>
      <c r="F22" s="3" t="s">
        <v>432</v>
      </c>
      <c r="G22" s="3" t="s">
        <v>513</v>
      </c>
      <c r="H22" s="15">
        <v>1.491898148148148E-3</v>
      </c>
      <c r="I22" s="16">
        <v>213000</v>
      </c>
      <c r="J22" s="16">
        <v>4300</v>
      </c>
      <c r="K22" s="16">
        <v>468</v>
      </c>
      <c r="L22" s="16">
        <v>470</v>
      </c>
      <c r="M22" s="17">
        <f t="shared" si="0"/>
        <v>2.0187793427230045E-2</v>
      </c>
      <c r="N22" s="18">
        <f t="shared" si="1"/>
        <v>2.197183098591549</v>
      </c>
      <c r="O22" s="19">
        <f t="shared" si="2"/>
        <v>0.10930232558139535</v>
      </c>
      <c r="P22" s="3">
        <v>6</v>
      </c>
      <c r="Q22" s="18">
        <f t="shared" si="3"/>
        <v>21.483333333333331</v>
      </c>
      <c r="R22" s="3" t="s">
        <v>413</v>
      </c>
      <c r="S22" s="3" t="s">
        <v>413</v>
      </c>
      <c r="T22" s="3" t="s">
        <v>514</v>
      </c>
      <c r="U22" s="3" t="s">
        <v>421</v>
      </c>
      <c r="V22" s="3" t="s">
        <v>515</v>
      </c>
      <c r="W22" s="3" t="s">
        <v>516</v>
      </c>
    </row>
    <row r="23" spans="1:23" ht="69" customHeight="1" x14ac:dyDescent="0.25">
      <c r="A23" s="3" t="s">
        <v>493</v>
      </c>
      <c r="B23" s="3">
        <v>192</v>
      </c>
      <c r="C23" s="13" t="s">
        <v>517</v>
      </c>
      <c r="D23" s="14">
        <v>46035</v>
      </c>
      <c r="E23" s="3" t="s">
        <v>518</v>
      </c>
      <c r="F23" s="3" t="s">
        <v>432</v>
      </c>
      <c r="G23" s="3" t="s">
        <v>519</v>
      </c>
      <c r="H23" s="15">
        <v>1.0219907407407411E-3</v>
      </c>
      <c r="I23" s="16">
        <v>194000</v>
      </c>
      <c r="J23" s="16">
        <v>6100</v>
      </c>
      <c r="K23" s="16">
        <v>696</v>
      </c>
      <c r="L23" s="16">
        <v>192</v>
      </c>
      <c r="M23" s="17">
        <f t="shared" si="0"/>
        <v>3.1443298969072164E-2</v>
      </c>
      <c r="N23" s="18">
        <f t="shared" si="1"/>
        <v>3.5876288659793811</v>
      </c>
      <c r="O23" s="19">
        <f t="shared" si="2"/>
        <v>3.1475409836065574E-2</v>
      </c>
      <c r="P23" s="3">
        <v>4</v>
      </c>
      <c r="Q23" s="18">
        <f t="shared" si="3"/>
        <v>22.075000000000006</v>
      </c>
      <c r="R23" s="3" t="s">
        <v>421</v>
      </c>
      <c r="S23" s="3" t="s">
        <v>413</v>
      </c>
      <c r="T23" s="3" t="s">
        <v>520</v>
      </c>
      <c r="U23" s="3" t="s">
        <v>421</v>
      </c>
      <c r="V23" s="3" t="s">
        <v>521</v>
      </c>
      <c r="W23" s="3" t="s">
        <v>522</v>
      </c>
    </row>
    <row r="24" spans="1:23" ht="69" customHeight="1" x14ac:dyDescent="0.25">
      <c r="A24" s="3" t="s">
        <v>493</v>
      </c>
      <c r="B24" s="3">
        <v>215</v>
      </c>
      <c r="C24" s="13" t="s">
        <v>523</v>
      </c>
      <c r="D24" s="14">
        <v>46104</v>
      </c>
      <c r="E24" s="3" t="s">
        <v>524</v>
      </c>
      <c r="F24" s="3" t="s">
        <v>411</v>
      </c>
      <c r="G24" s="3" t="s">
        <v>525</v>
      </c>
      <c r="H24" s="15">
        <v>1.3043981481481481E-3</v>
      </c>
      <c r="I24" s="16">
        <v>152000</v>
      </c>
      <c r="J24" s="16">
        <v>4700</v>
      </c>
      <c r="K24" s="16">
        <v>821</v>
      </c>
      <c r="L24" s="16">
        <v>362</v>
      </c>
      <c r="M24" s="17">
        <f t="shared" si="0"/>
        <v>3.0921052631578946E-2</v>
      </c>
      <c r="N24" s="18">
        <f t="shared" si="1"/>
        <v>5.401315789473685</v>
      </c>
      <c r="O24" s="19">
        <f t="shared" si="2"/>
        <v>7.7021276595744675E-2</v>
      </c>
      <c r="P24" s="3">
        <v>3</v>
      </c>
      <c r="Q24" s="18">
        <f t="shared" si="3"/>
        <v>37.566666666666663</v>
      </c>
      <c r="R24" s="3" t="s">
        <v>421</v>
      </c>
      <c r="S24" s="3" t="s">
        <v>413</v>
      </c>
      <c r="T24" s="3" t="s">
        <v>526</v>
      </c>
      <c r="U24" s="3" t="s">
        <v>421</v>
      </c>
      <c r="V24" s="3" t="s">
        <v>527</v>
      </c>
      <c r="W24" s="3" t="s">
        <v>528</v>
      </c>
    </row>
    <row r="25" spans="1:23" ht="69" customHeight="1" x14ac:dyDescent="0.25">
      <c r="A25" s="3" t="s">
        <v>493</v>
      </c>
      <c r="B25" s="3">
        <v>217</v>
      </c>
      <c r="C25" s="13" t="s">
        <v>529</v>
      </c>
      <c r="D25" s="14">
        <v>46107</v>
      </c>
      <c r="E25" s="3" t="s">
        <v>530</v>
      </c>
      <c r="F25" s="3" t="s">
        <v>432</v>
      </c>
      <c r="G25" s="3" t="s">
        <v>531</v>
      </c>
      <c r="H25" s="15">
        <v>1.241898148148148E-3</v>
      </c>
      <c r="I25" s="16">
        <v>151000</v>
      </c>
      <c r="J25" s="16">
        <v>3900</v>
      </c>
      <c r="K25" s="16">
        <v>554</v>
      </c>
      <c r="L25" s="16">
        <v>208</v>
      </c>
      <c r="M25" s="17">
        <f t="shared" si="0"/>
        <v>2.5827814569536423E-2</v>
      </c>
      <c r="N25" s="18">
        <f t="shared" si="1"/>
        <v>3.6688741721854305</v>
      </c>
      <c r="O25" s="19">
        <f t="shared" si="2"/>
        <v>5.3333333333333337E-2</v>
      </c>
      <c r="P25" s="3">
        <v>2</v>
      </c>
      <c r="Q25" s="18">
        <f t="shared" si="3"/>
        <v>53.649999999999991</v>
      </c>
      <c r="R25" s="3" t="s">
        <v>421</v>
      </c>
      <c r="S25" s="3" t="s">
        <v>413</v>
      </c>
      <c r="T25" s="3" t="s">
        <v>520</v>
      </c>
      <c r="U25" s="3" t="s">
        <v>421</v>
      </c>
      <c r="V25" s="3" t="s">
        <v>532</v>
      </c>
      <c r="W25" s="3" t="s">
        <v>533</v>
      </c>
    </row>
    <row r="26" spans="1:23" ht="69" customHeight="1" x14ac:dyDescent="0.25">
      <c r="A26" s="3" t="s">
        <v>534</v>
      </c>
      <c r="B26" s="3">
        <v>81</v>
      </c>
      <c r="C26" s="13" t="s">
        <v>535</v>
      </c>
      <c r="D26" s="14">
        <v>46086</v>
      </c>
      <c r="E26" s="3" t="s">
        <v>536</v>
      </c>
      <c r="F26" s="3" t="s">
        <v>411</v>
      </c>
      <c r="G26" s="3" t="s">
        <v>537</v>
      </c>
      <c r="H26" s="15">
        <v>1.4039351851851849E-3</v>
      </c>
      <c r="I26" s="16">
        <v>700000</v>
      </c>
      <c r="J26" s="16">
        <v>11400</v>
      </c>
      <c r="K26" s="16">
        <v>2000</v>
      </c>
      <c r="L26" s="16">
        <v>792</v>
      </c>
      <c r="M26" s="17">
        <f t="shared" si="0"/>
        <v>1.6285714285714285E-2</v>
      </c>
      <c r="N26" s="18">
        <f t="shared" si="1"/>
        <v>2.8571428571428572</v>
      </c>
      <c r="O26" s="19">
        <f t="shared" si="2"/>
        <v>6.9473684210526312E-2</v>
      </c>
      <c r="P26" s="3">
        <v>4</v>
      </c>
      <c r="Q26" s="18">
        <f t="shared" si="3"/>
        <v>30.324999999999996</v>
      </c>
      <c r="R26" s="3" t="s">
        <v>421</v>
      </c>
      <c r="S26" s="3" t="s">
        <v>421</v>
      </c>
      <c r="T26" s="3" t="s">
        <v>538</v>
      </c>
      <c r="U26" s="3" t="s">
        <v>415</v>
      </c>
      <c r="V26" s="3" t="s">
        <v>539</v>
      </c>
      <c r="W26" s="3" t="s">
        <v>540</v>
      </c>
    </row>
    <row r="27" spans="1:23" ht="69" customHeight="1" x14ac:dyDescent="0.25">
      <c r="A27" s="3" t="s">
        <v>534</v>
      </c>
      <c r="B27" s="3">
        <v>111</v>
      </c>
      <c r="C27" s="13" t="s">
        <v>541</v>
      </c>
      <c r="D27" s="14">
        <v>46027</v>
      </c>
      <c r="E27" s="3" t="s">
        <v>542</v>
      </c>
      <c r="F27" s="3" t="s">
        <v>443</v>
      </c>
      <c r="G27" s="3" t="s">
        <v>543</v>
      </c>
      <c r="H27" s="15">
        <v>1.0046296296296301E-3</v>
      </c>
      <c r="I27" s="16">
        <v>477000</v>
      </c>
      <c r="J27" s="16">
        <v>7200</v>
      </c>
      <c r="K27" s="16">
        <v>421</v>
      </c>
      <c r="L27" s="16">
        <v>1100</v>
      </c>
      <c r="M27" s="17">
        <f t="shared" si="0"/>
        <v>1.509433962264151E-2</v>
      </c>
      <c r="N27" s="18">
        <f t="shared" si="1"/>
        <v>0.88259958071278821</v>
      </c>
      <c r="O27" s="19">
        <f t="shared" si="2"/>
        <v>0.15277777777777779</v>
      </c>
      <c r="P27" s="3">
        <v>1</v>
      </c>
      <c r="Q27" s="18">
        <f t="shared" si="3"/>
        <v>86.80000000000004</v>
      </c>
      <c r="R27" s="3" t="s">
        <v>413</v>
      </c>
      <c r="S27" s="3" t="s">
        <v>421</v>
      </c>
      <c r="T27" s="3" t="s">
        <v>544</v>
      </c>
      <c r="U27" s="3" t="s">
        <v>415</v>
      </c>
      <c r="V27" s="3" t="s">
        <v>545</v>
      </c>
      <c r="W27" s="3" t="s">
        <v>546</v>
      </c>
    </row>
    <row r="28" spans="1:23" ht="81.95" customHeight="1" x14ac:dyDescent="0.25">
      <c r="A28" s="3" t="s">
        <v>534</v>
      </c>
      <c r="B28" s="3">
        <v>154</v>
      </c>
      <c r="C28" s="13" t="s">
        <v>547</v>
      </c>
      <c r="D28" s="14">
        <v>45765</v>
      </c>
      <c r="E28" s="3" t="s">
        <v>548</v>
      </c>
      <c r="F28" s="3" t="s">
        <v>432</v>
      </c>
      <c r="G28" s="3" t="s">
        <v>549</v>
      </c>
      <c r="H28" s="15">
        <v>1.240740740740741E-3</v>
      </c>
      <c r="I28" s="16">
        <v>289000</v>
      </c>
      <c r="J28" s="16">
        <v>3800</v>
      </c>
      <c r="K28" s="16">
        <v>320</v>
      </c>
      <c r="L28" s="16">
        <v>198</v>
      </c>
      <c r="M28" s="17">
        <f t="shared" si="0"/>
        <v>1.314878892733564E-2</v>
      </c>
      <c r="N28" s="18">
        <f t="shared" si="1"/>
        <v>1.1072664359861593</v>
      </c>
      <c r="O28" s="19">
        <f t="shared" si="2"/>
        <v>5.2105263157894738E-2</v>
      </c>
      <c r="P28" s="3">
        <v>5</v>
      </c>
      <c r="Q28" s="18">
        <f t="shared" si="3"/>
        <v>21.440000000000005</v>
      </c>
      <c r="R28" s="3" t="s">
        <v>421</v>
      </c>
      <c r="S28" s="3" t="s">
        <v>421</v>
      </c>
      <c r="T28" s="3" t="s">
        <v>550</v>
      </c>
      <c r="U28" s="3" t="s">
        <v>421</v>
      </c>
      <c r="V28" s="3" t="s">
        <v>551</v>
      </c>
      <c r="W28" s="3" t="s">
        <v>552</v>
      </c>
    </row>
    <row r="29" spans="1:23" ht="81.95" customHeight="1" x14ac:dyDescent="0.25">
      <c r="A29" s="3" t="s">
        <v>534</v>
      </c>
      <c r="B29" s="3">
        <v>218</v>
      </c>
      <c r="C29" s="13" t="s">
        <v>553</v>
      </c>
      <c r="D29" s="14">
        <v>46150</v>
      </c>
      <c r="E29" s="3" t="s">
        <v>554</v>
      </c>
      <c r="F29" s="3" t="s">
        <v>555</v>
      </c>
      <c r="G29" s="3" t="s">
        <v>556</v>
      </c>
      <c r="H29" s="15">
        <v>1.195601851851852E-3</v>
      </c>
      <c r="I29" s="16">
        <v>149000</v>
      </c>
      <c r="J29" s="16">
        <v>2200</v>
      </c>
      <c r="K29" s="16">
        <v>320</v>
      </c>
      <c r="L29" s="16">
        <v>18</v>
      </c>
      <c r="M29" s="17">
        <f t="shared" si="0"/>
        <v>1.4765100671140939E-2</v>
      </c>
      <c r="N29" s="18">
        <f t="shared" si="1"/>
        <v>2.1476510067114094</v>
      </c>
      <c r="O29" s="19">
        <f t="shared" si="2"/>
        <v>8.1818181818181825E-3</v>
      </c>
      <c r="P29" s="3">
        <v>0</v>
      </c>
      <c r="Q29" s="18" t="str">
        <f t="shared" si="3"/>
        <v/>
      </c>
      <c r="R29" s="3" t="s">
        <v>413</v>
      </c>
      <c r="S29" s="3" t="s">
        <v>421</v>
      </c>
      <c r="T29" s="3" t="s">
        <v>557</v>
      </c>
      <c r="U29" s="3" t="s">
        <v>421</v>
      </c>
      <c r="V29" s="3" t="s">
        <v>558</v>
      </c>
      <c r="W29" s="3" t="s">
        <v>559</v>
      </c>
    </row>
    <row r="30" spans="1:23" ht="81.95" customHeight="1" x14ac:dyDescent="0.25">
      <c r="A30" s="3" t="s">
        <v>534</v>
      </c>
      <c r="B30" s="3">
        <v>222</v>
      </c>
      <c r="C30" s="13" t="s">
        <v>560</v>
      </c>
      <c r="D30" s="14">
        <v>46062</v>
      </c>
      <c r="E30" s="3" t="s">
        <v>561</v>
      </c>
      <c r="F30" s="3" t="s">
        <v>488</v>
      </c>
      <c r="G30" s="3" t="s">
        <v>562</v>
      </c>
      <c r="H30" s="15">
        <v>1.190972222222222E-3</v>
      </c>
      <c r="I30" s="16">
        <v>138000</v>
      </c>
      <c r="J30" s="16">
        <v>1900</v>
      </c>
      <c r="K30" s="16">
        <v>260</v>
      </c>
      <c r="L30" s="16">
        <v>197</v>
      </c>
      <c r="M30" s="17">
        <f t="shared" si="0"/>
        <v>1.3768115942028985E-2</v>
      </c>
      <c r="N30" s="18">
        <f t="shared" si="1"/>
        <v>1.8840579710144927</v>
      </c>
      <c r="O30" s="19">
        <f t="shared" si="2"/>
        <v>0.1036842105263158</v>
      </c>
      <c r="P30" s="3">
        <v>4</v>
      </c>
      <c r="Q30" s="18">
        <f t="shared" si="3"/>
        <v>25.724999999999994</v>
      </c>
      <c r="R30" s="3" t="s">
        <v>421</v>
      </c>
      <c r="S30" s="3" t="s">
        <v>421</v>
      </c>
      <c r="T30" s="3" t="s">
        <v>563</v>
      </c>
      <c r="U30" s="3" t="s">
        <v>421</v>
      </c>
      <c r="V30" s="3" t="s">
        <v>564</v>
      </c>
      <c r="W30" s="3" t="s">
        <v>565</v>
      </c>
    </row>
    <row r="31" spans="1:23" ht="56.1" customHeight="1" x14ac:dyDescent="0.25">
      <c r="A31" s="3" t="s">
        <v>566</v>
      </c>
      <c r="B31" s="3">
        <v>132</v>
      </c>
      <c r="C31" s="13" t="s">
        <v>567</v>
      </c>
      <c r="D31" s="14">
        <v>46077</v>
      </c>
      <c r="E31" s="3" t="s">
        <v>568</v>
      </c>
      <c r="F31" s="3" t="s">
        <v>411</v>
      </c>
      <c r="G31" s="3" t="s">
        <v>569</v>
      </c>
      <c r="H31" s="15">
        <v>7.8483796296296305E-3</v>
      </c>
      <c r="I31" s="16">
        <v>376000</v>
      </c>
      <c r="J31" s="16">
        <v>7200</v>
      </c>
      <c r="K31" s="16">
        <v>600</v>
      </c>
      <c r="L31" s="16">
        <v>705</v>
      </c>
      <c r="M31" s="17">
        <f t="shared" si="0"/>
        <v>1.9148936170212766E-2</v>
      </c>
      <c r="N31" s="18">
        <f t="shared" si="1"/>
        <v>1.5957446808510638</v>
      </c>
      <c r="O31" s="19">
        <f t="shared" si="2"/>
        <v>9.7916666666666666E-2</v>
      </c>
      <c r="P31" s="3">
        <v>0</v>
      </c>
      <c r="Q31" s="18" t="str">
        <f t="shared" si="3"/>
        <v/>
      </c>
      <c r="R31" s="3" t="s">
        <v>413</v>
      </c>
      <c r="S31" s="3" t="s">
        <v>508</v>
      </c>
      <c r="T31" s="3" t="s">
        <v>570</v>
      </c>
      <c r="U31" s="3" t="s">
        <v>415</v>
      </c>
      <c r="V31" s="3" t="s">
        <v>571</v>
      </c>
      <c r="W31" s="3" t="s">
        <v>572</v>
      </c>
    </row>
    <row r="32" spans="1:23" ht="43.5" customHeight="1" x14ac:dyDescent="0.25">
      <c r="A32" s="3" t="s">
        <v>566</v>
      </c>
      <c r="B32" s="3">
        <v>136</v>
      </c>
      <c r="C32" s="13" t="s">
        <v>573</v>
      </c>
      <c r="D32" s="14">
        <v>46011</v>
      </c>
      <c r="E32" s="3" t="s">
        <v>574</v>
      </c>
      <c r="F32" s="3" t="s">
        <v>501</v>
      </c>
      <c r="G32" s="3" t="s">
        <v>575</v>
      </c>
      <c r="H32" s="15">
        <v>1.1265046296296301E-2</v>
      </c>
      <c r="I32" s="16">
        <v>350000</v>
      </c>
      <c r="J32" s="16">
        <v>9900</v>
      </c>
      <c r="K32" s="16">
        <v>968</v>
      </c>
      <c r="L32" s="16">
        <v>1300</v>
      </c>
      <c r="M32" s="17">
        <f t="shared" si="0"/>
        <v>2.8285714285714286E-2</v>
      </c>
      <c r="N32" s="18">
        <f t="shared" si="1"/>
        <v>2.765714285714286</v>
      </c>
      <c r="O32" s="19">
        <f t="shared" si="2"/>
        <v>0.13131313131313133</v>
      </c>
      <c r="P32" s="3">
        <v>15</v>
      </c>
      <c r="Q32" s="18">
        <f t="shared" si="3"/>
        <v>64.886666666666699</v>
      </c>
      <c r="R32" s="3" t="s">
        <v>421</v>
      </c>
      <c r="S32" s="3" t="s">
        <v>508</v>
      </c>
      <c r="T32" s="3" t="s">
        <v>570</v>
      </c>
      <c r="U32" s="3" t="s">
        <v>415</v>
      </c>
      <c r="V32" s="3" t="s">
        <v>576</v>
      </c>
      <c r="W32" s="3" t="s">
        <v>577</v>
      </c>
    </row>
    <row r="33" spans="1:23" ht="43.5" customHeight="1" x14ac:dyDescent="0.25">
      <c r="A33" s="3" t="s">
        <v>566</v>
      </c>
      <c r="B33" s="3">
        <v>162</v>
      </c>
      <c r="C33" s="13" t="s">
        <v>578</v>
      </c>
      <c r="D33" s="14">
        <v>46027</v>
      </c>
      <c r="E33" s="3" t="s">
        <v>579</v>
      </c>
      <c r="F33" s="3" t="s">
        <v>451</v>
      </c>
      <c r="G33" s="3" t="s">
        <v>580</v>
      </c>
      <c r="H33" s="15">
        <v>8.0891203703703698E-3</v>
      </c>
      <c r="I33" s="16">
        <v>265000</v>
      </c>
      <c r="J33" s="16">
        <v>6000</v>
      </c>
      <c r="K33" s="16">
        <v>617</v>
      </c>
      <c r="L33" s="16">
        <v>556</v>
      </c>
      <c r="M33" s="17">
        <f t="shared" si="0"/>
        <v>2.2641509433962263E-2</v>
      </c>
      <c r="N33" s="18">
        <f t="shared" si="1"/>
        <v>2.328301886792453</v>
      </c>
      <c r="O33" s="19">
        <f t="shared" si="2"/>
        <v>9.2666666666666661E-2</v>
      </c>
      <c r="P33" s="3">
        <v>1</v>
      </c>
      <c r="Q33" s="18">
        <f t="shared" si="3"/>
        <v>698.9</v>
      </c>
      <c r="R33" s="3" t="s">
        <v>421</v>
      </c>
      <c r="S33" s="3" t="s">
        <v>508</v>
      </c>
      <c r="T33" s="3" t="s">
        <v>570</v>
      </c>
      <c r="U33" s="3" t="s">
        <v>415</v>
      </c>
      <c r="V33" s="3" t="s">
        <v>581</v>
      </c>
      <c r="W33" s="3" t="s">
        <v>582</v>
      </c>
    </row>
    <row r="34" spans="1:23" ht="56.1" customHeight="1" x14ac:dyDescent="0.25">
      <c r="A34" s="3" t="s">
        <v>566</v>
      </c>
      <c r="B34" s="3">
        <v>211</v>
      </c>
      <c r="C34" s="13" t="s">
        <v>583</v>
      </c>
      <c r="D34" s="14">
        <v>46006</v>
      </c>
      <c r="E34" s="3" t="s">
        <v>584</v>
      </c>
      <c r="F34" s="3" t="s">
        <v>488</v>
      </c>
      <c r="G34" s="3" t="s">
        <v>585</v>
      </c>
      <c r="H34" s="15">
        <v>7.7465277777777784E-3</v>
      </c>
      <c r="I34" s="16">
        <v>159000</v>
      </c>
      <c r="J34" s="16">
        <v>2400</v>
      </c>
      <c r="K34" s="16">
        <v>202</v>
      </c>
      <c r="L34" s="16">
        <v>139</v>
      </c>
      <c r="M34" s="17">
        <f t="shared" si="0"/>
        <v>1.509433962264151E-2</v>
      </c>
      <c r="N34" s="18">
        <f t="shared" si="1"/>
        <v>1.270440251572327</v>
      </c>
      <c r="O34" s="19">
        <f t="shared" si="2"/>
        <v>5.7916666666666665E-2</v>
      </c>
      <c r="P34" s="3">
        <v>5</v>
      </c>
      <c r="Q34" s="18">
        <f t="shared" si="3"/>
        <v>133.86000000000001</v>
      </c>
      <c r="R34" s="3" t="s">
        <v>421</v>
      </c>
      <c r="S34" s="3" t="s">
        <v>508</v>
      </c>
      <c r="T34" s="3" t="s">
        <v>570</v>
      </c>
      <c r="U34" s="3" t="s">
        <v>415</v>
      </c>
      <c r="V34" s="3" t="s">
        <v>586</v>
      </c>
      <c r="W34" s="3" t="s">
        <v>587</v>
      </c>
    </row>
    <row r="36" spans="1:23" ht="21.95" customHeight="1" x14ac:dyDescent="0.25">
      <c r="A36" s="23" t="s">
        <v>588</v>
      </c>
      <c r="B36" s="24"/>
      <c r="C36" s="24"/>
      <c r="D36" s="24"/>
      <c r="E36" s="24"/>
      <c r="F36" s="24"/>
      <c r="G36" s="24"/>
      <c r="H36" s="24"/>
      <c r="I36" s="24"/>
      <c r="J36" s="24"/>
      <c r="K36" s="24"/>
      <c r="L36" s="24"/>
      <c r="M36" s="24"/>
      <c r="N36" s="24"/>
      <c r="O36" s="24"/>
      <c r="P36" s="24"/>
      <c r="Q36" s="24"/>
      <c r="R36" s="24"/>
      <c r="S36" s="24"/>
      <c r="T36" s="24"/>
      <c r="U36" s="24"/>
      <c r="V36" s="24"/>
      <c r="W36" s="24"/>
    </row>
    <row r="37" spans="1:23" ht="30" customHeight="1" x14ac:dyDescent="0.25">
      <c r="A37" s="1" t="s">
        <v>388</v>
      </c>
      <c r="B37" s="1" t="s">
        <v>589</v>
      </c>
      <c r="C37" s="2"/>
      <c r="D37" s="2"/>
      <c r="E37" s="1" t="s">
        <v>4</v>
      </c>
      <c r="F37" s="2"/>
      <c r="G37" s="2"/>
      <c r="H37" s="1" t="s">
        <v>394</v>
      </c>
      <c r="I37" s="1" t="s">
        <v>395</v>
      </c>
      <c r="J37" s="1" t="s">
        <v>396</v>
      </c>
      <c r="K37" s="1" t="s">
        <v>397</v>
      </c>
      <c r="L37" s="1" t="s">
        <v>398</v>
      </c>
      <c r="M37" s="1" t="s">
        <v>399</v>
      </c>
      <c r="N37" s="1" t="s">
        <v>590</v>
      </c>
      <c r="O37" s="1" t="s">
        <v>401</v>
      </c>
      <c r="P37" s="1" t="s">
        <v>591</v>
      </c>
      <c r="Q37" s="1" t="s">
        <v>403</v>
      </c>
      <c r="R37" s="1" t="s">
        <v>592</v>
      </c>
      <c r="S37" s="1" t="s">
        <v>593</v>
      </c>
      <c r="T37" s="2"/>
      <c r="U37" s="1" t="s">
        <v>594</v>
      </c>
      <c r="V37" s="2"/>
      <c r="W37" s="2"/>
    </row>
    <row r="38" spans="1:23" ht="30" customHeight="1" x14ac:dyDescent="0.25">
      <c r="A38" s="5" t="s">
        <v>408</v>
      </c>
      <c r="B38" s="3">
        <f>COUNTA(I5:I10)</f>
        <v>6</v>
      </c>
      <c r="C38" s="4"/>
      <c r="D38" s="4"/>
      <c r="E38" s="3" t="s">
        <v>595</v>
      </c>
      <c r="F38" s="4"/>
      <c r="G38" s="4"/>
      <c r="H38" s="15">
        <f t="shared" ref="H38:Q38" si="4">MEDIAN(H5:H10)</f>
        <v>5.6655092592592586E-4</v>
      </c>
      <c r="I38" s="16">
        <f t="shared" si="4"/>
        <v>592000</v>
      </c>
      <c r="J38" s="16">
        <f t="shared" si="4"/>
        <v>8650</v>
      </c>
      <c r="K38" s="16">
        <f t="shared" si="4"/>
        <v>466.5</v>
      </c>
      <c r="L38" s="16">
        <f t="shared" si="4"/>
        <v>1300</v>
      </c>
      <c r="M38" s="17">
        <f t="shared" si="4"/>
        <v>1.3233830845771144E-2</v>
      </c>
      <c r="N38" s="18">
        <f t="shared" si="4"/>
        <v>0.7563230045425049</v>
      </c>
      <c r="O38" s="19">
        <f t="shared" si="4"/>
        <v>0.14940320470896012</v>
      </c>
      <c r="P38" s="20">
        <f t="shared" si="4"/>
        <v>8</v>
      </c>
      <c r="Q38" s="18">
        <f t="shared" si="4"/>
        <v>5.340476190476191</v>
      </c>
      <c r="R38" s="3" t="str">
        <f>COUNTIF(R5:R10,"Có")&amp;"/6"</f>
        <v>2/6</v>
      </c>
      <c r="S38" s="3" t="str">
        <f>COUNTIF(S5:S10,"Có")&amp;"/6"</f>
        <v>0/6</v>
      </c>
      <c r="T38" s="4"/>
      <c r="U38" s="3" t="str">
        <f>COUNTIF(U5:U10,"Có")&amp;"/6"</f>
        <v>2/6</v>
      </c>
      <c r="V38" s="4"/>
      <c r="W38" s="4"/>
    </row>
    <row r="39" spans="1:23" ht="30" customHeight="1" x14ac:dyDescent="0.25">
      <c r="A39" s="5" t="s">
        <v>448</v>
      </c>
      <c r="B39" s="3">
        <f>COUNTA(I11:I18)</f>
        <v>8</v>
      </c>
      <c r="C39" s="4"/>
      <c r="D39" s="4"/>
      <c r="E39" s="3" t="s">
        <v>595</v>
      </c>
      <c r="F39" s="4"/>
      <c r="G39" s="4"/>
      <c r="H39" s="15">
        <f t="shared" ref="H39:Q39" si="5">MEDIAN(H11:H18)</f>
        <v>1.4062499999999999E-3</v>
      </c>
      <c r="I39" s="16">
        <f t="shared" si="5"/>
        <v>616500</v>
      </c>
      <c r="J39" s="16">
        <f t="shared" si="5"/>
        <v>6500</v>
      </c>
      <c r="K39" s="16">
        <f t="shared" si="5"/>
        <v>404.5</v>
      </c>
      <c r="L39" s="16">
        <f t="shared" si="5"/>
        <v>1600</v>
      </c>
      <c r="M39" s="17">
        <f t="shared" si="5"/>
        <v>1.2536633663366336E-2</v>
      </c>
      <c r="N39" s="18">
        <f t="shared" si="5"/>
        <v>0.89200676165177495</v>
      </c>
      <c r="O39" s="19">
        <f t="shared" si="5"/>
        <v>0.2235672514619883</v>
      </c>
      <c r="P39" s="20">
        <f t="shared" si="5"/>
        <v>3</v>
      </c>
      <c r="Q39" s="18">
        <f t="shared" si="5"/>
        <v>40.5</v>
      </c>
      <c r="R39" s="3" t="str">
        <f>COUNTIF(R11:R18,"Có")&amp;"/8"</f>
        <v>7/8</v>
      </c>
      <c r="S39" s="3" t="str">
        <f>COUNTIF(S11:S18,"Có")&amp;"/8"</f>
        <v>1/8</v>
      </c>
      <c r="T39" s="4"/>
      <c r="U39" s="3" t="str">
        <f>COUNTIF(U11:U18,"Có")&amp;"/8"</f>
        <v>2/8</v>
      </c>
      <c r="V39" s="4"/>
      <c r="W39" s="4"/>
    </row>
    <row r="40" spans="1:23" ht="30" customHeight="1" x14ac:dyDescent="0.25">
      <c r="A40" s="5" t="s">
        <v>493</v>
      </c>
      <c r="B40" s="3">
        <f>COUNTA(I19:I25)</f>
        <v>7</v>
      </c>
      <c r="C40" s="4"/>
      <c r="D40" s="4"/>
      <c r="E40" s="3" t="s">
        <v>595</v>
      </c>
      <c r="F40" s="4"/>
      <c r="G40" s="4"/>
      <c r="H40" s="15">
        <f t="shared" ref="H40:Q40" si="6">MEDIAN(H19:H25)</f>
        <v>1.241898148148148E-3</v>
      </c>
      <c r="I40" s="16">
        <f t="shared" si="6"/>
        <v>213000</v>
      </c>
      <c r="J40" s="16">
        <f t="shared" si="6"/>
        <v>4700</v>
      </c>
      <c r="K40" s="16">
        <f t="shared" si="6"/>
        <v>682</v>
      </c>
      <c r="L40" s="16">
        <f t="shared" si="6"/>
        <v>362</v>
      </c>
      <c r="M40" s="17">
        <f t="shared" si="6"/>
        <v>2.0187793427230045E-2</v>
      </c>
      <c r="N40" s="18">
        <f t="shared" si="6"/>
        <v>3.5876288659793811</v>
      </c>
      <c r="O40" s="19">
        <f t="shared" si="6"/>
        <v>7.8974358974358977E-2</v>
      </c>
      <c r="P40" s="20">
        <f t="shared" si="6"/>
        <v>3</v>
      </c>
      <c r="Q40" s="18">
        <f t="shared" si="6"/>
        <v>33.599999999999994</v>
      </c>
      <c r="R40" s="3" t="str">
        <f>COUNTIF(R19:R25,"Có")&amp;"/7"</f>
        <v>6/7</v>
      </c>
      <c r="S40" s="3" t="str">
        <f>COUNTIF(S19:S25,"Có")&amp;"/7"</f>
        <v>0/7</v>
      </c>
      <c r="T40" s="4"/>
      <c r="U40" s="3" t="str">
        <f>COUNTIF(U19:U25,"Có")&amp;"/7"</f>
        <v>5/7</v>
      </c>
      <c r="V40" s="4"/>
      <c r="W40" s="4"/>
    </row>
    <row r="41" spans="1:23" ht="30" customHeight="1" x14ac:dyDescent="0.25">
      <c r="A41" s="5" t="s">
        <v>534</v>
      </c>
      <c r="B41" s="3">
        <f>COUNTA(I26:I30)</f>
        <v>5</v>
      </c>
      <c r="C41" s="4"/>
      <c r="D41" s="4"/>
      <c r="E41" s="3" t="s">
        <v>595</v>
      </c>
      <c r="F41" s="4"/>
      <c r="G41" s="4"/>
      <c r="H41" s="15">
        <f t="shared" ref="H41:Q41" si="7">MEDIAN(H26:H30)</f>
        <v>1.195601851851852E-3</v>
      </c>
      <c r="I41" s="16">
        <f t="shared" si="7"/>
        <v>289000</v>
      </c>
      <c r="J41" s="16">
        <f t="shared" si="7"/>
        <v>3800</v>
      </c>
      <c r="K41" s="16">
        <f t="shared" si="7"/>
        <v>320</v>
      </c>
      <c r="L41" s="16">
        <f t="shared" si="7"/>
        <v>198</v>
      </c>
      <c r="M41" s="17">
        <f t="shared" si="7"/>
        <v>1.4765100671140939E-2</v>
      </c>
      <c r="N41" s="18">
        <f t="shared" si="7"/>
        <v>1.8840579710144927</v>
      </c>
      <c r="O41" s="19">
        <f t="shared" si="7"/>
        <v>6.9473684210526312E-2</v>
      </c>
      <c r="P41" s="20">
        <f t="shared" si="7"/>
        <v>4</v>
      </c>
      <c r="Q41" s="18">
        <f t="shared" si="7"/>
        <v>28.024999999999995</v>
      </c>
      <c r="R41" s="3" t="str">
        <f>COUNTIF(R26:R30,"Có")&amp;"/5"</f>
        <v>3/5</v>
      </c>
      <c r="S41" s="3" t="str">
        <f>COUNTIF(S26:S30,"Có")&amp;"/5"</f>
        <v>5/5</v>
      </c>
      <c r="T41" s="4"/>
      <c r="U41" s="3" t="str">
        <f>COUNTIF(U26:U30,"Có")&amp;"/5"</f>
        <v>3/5</v>
      </c>
      <c r="V41" s="4"/>
      <c r="W41" s="4"/>
    </row>
    <row r="42" spans="1:23" ht="30" customHeight="1" x14ac:dyDescent="0.25">
      <c r="A42" s="5" t="s">
        <v>566</v>
      </c>
      <c r="B42" s="3">
        <f>COUNTA(I31:I34)</f>
        <v>4</v>
      </c>
      <c r="C42" s="4"/>
      <c r="D42" s="4"/>
      <c r="E42" s="3" t="s">
        <v>595</v>
      </c>
      <c r="F42" s="4"/>
      <c r="G42" s="4"/>
      <c r="H42" s="15">
        <f t="shared" ref="H42:Q42" si="8">MEDIAN(H31:H34)</f>
        <v>7.9687500000000001E-3</v>
      </c>
      <c r="I42" s="16">
        <f t="shared" si="8"/>
        <v>307500</v>
      </c>
      <c r="J42" s="16">
        <f t="shared" si="8"/>
        <v>6600</v>
      </c>
      <c r="K42" s="16">
        <f t="shared" si="8"/>
        <v>608.5</v>
      </c>
      <c r="L42" s="16">
        <f t="shared" si="8"/>
        <v>630.5</v>
      </c>
      <c r="M42" s="17">
        <f t="shared" si="8"/>
        <v>2.0895222802087512E-2</v>
      </c>
      <c r="N42" s="18">
        <f t="shared" si="8"/>
        <v>1.9620232838217584</v>
      </c>
      <c r="O42" s="19">
        <f t="shared" si="8"/>
        <v>9.5291666666666663E-2</v>
      </c>
      <c r="P42" s="20">
        <f t="shared" si="8"/>
        <v>3</v>
      </c>
      <c r="Q42" s="18">
        <f t="shared" si="8"/>
        <v>133.86000000000001</v>
      </c>
      <c r="R42" s="3" t="str">
        <f>COUNTIF(R31:R34,"Có")&amp;"/4"</f>
        <v>3/4</v>
      </c>
      <c r="S42" s="3" t="str">
        <f>COUNTIF(S31:S34,"Có")&amp;"/4"</f>
        <v>0/4</v>
      </c>
      <c r="T42" s="4"/>
      <c r="U42" s="3" t="str">
        <f>COUNTIF(U31:U34,"Có")&amp;"/4"</f>
        <v>0/4</v>
      </c>
      <c r="V42" s="4"/>
      <c r="W42" s="4"/>
    </row>
    <row r="43" spans="1:23" ht="30" customHeight="1" x14ac:dyDescent="0.25">
      <c r="A43" s="5" t="s">
        <v>596</v>
      </c>
      <c r="B43" s="3">
        <f>COUNTA(I5:I34)</f>
        <v>30</v>
      </c>
      <c r="C43" s="4"/>
      <c r="D43" s="4"/>
      <c r="E43" s="3" t="s">
        <v>595</v>
      </c>
      <c r="F43" s="4"/>
      <c r="G43" s="4"/>
      <c r="H43" s="15">
        <f t="shared" ref="H43:Q43" si="9">MEDIAN(H5:H34)</f>
        <v>1.2413194444444446E-3</v>
      </c>
      <c r="I43" s="16">
        <f t="shared" si="9"/>
        <v>390500</v>
      </c>
      <c r="J43" s="16">
        <f t="shared" si="9"/>
        <v>6150</v>
      </c>
      <c r="K43" s="16">
        <f t="shared" si="9"/>
        <v>480</v>
      </c>
      <c r="L43" s="16">
        <f t="shared" si="9"/>
        <v>740.5</v>
      </c>
      <c r="M43" s="17">
        <f t="shared" si="9"/>
        <v>1.4929720146891225E-2</v>
      </c>
      <c r="N43" s="18">
        <f t="shared" si="9"/>
        <v>1.1888533437792432</v>
      </c>
      <c r="O43" s="19">
        <f t="shared" si="9"/>
        <v>0.12030772844726334</v>
      </c>
      <c r="P43" s="20">
        <f t="shared" si="9"/>
        <v>3</v>
      </c>
      <c r="Q43" s="18">
        <f t="shared" si="9"/>
        <v>31.360000000000003</v>
      </c>
      <c r="R43" s="3" t="str">
        <f>COUNTIF(R5:R34,"Có")&amp;"/30"</f>
        <v>21/30</v>
      </c>
      <c r="S43" s="3" t="str">
        <f>COUNTIF(S5:S34,"Có")&amp;"/30"</f>
        <v>6/30</v>
      </c>
      <c r="T43" s="4"/>
      <c r="U43" s="3" t="str">
        <f>COUNTIF(U5:U34,"Có")&amp;"/30"</f>
        <v>12/30</v>
      </c>
      <c r="V43" s="4"/>
      <c r="W43" s="4"/>
    </row>
    <row r="45" spans="1:23" ht="15.6" customHeight="1" x14ac:dyDescent="0.25">
      <c r="A45" s="25" t="s">
        <v>597</v>
      </c>
      <c r="B45" s="24"/>
      <c r="C45" s="24"/>
      <c r="D45" s="24"/>
      <c r="E45" s="24"/>
      <c r="F45" s="24"/>
      <c r="G45" s="24"/>
      <c r="H45" s="24"/>
      <c r="I45" s="24"/>
      <c r="J45" s="24"/>
      <c r="K45" s="24"/>
      <c r="L45" s="24"/>
      <c r="M45" s="24"/>
      <c r="N45" s="24"/>
      <c r="O45" s="24"/>
      <c r="P45" s="24"/>
      <c r="Q45" s="24"/>
      <c r="R45" s="24"/>
      <c r="S45" s="24"/>
      <c r="T45" s="24"/>
      <c r="U45" s="24"/>
      <c r="V45" s="24"/>
      <c r="W45" s="24"/>
    </row>
    <row r="46" spans="1:23" ht="15.6" customHeight="1" x14ac:dyDescent="0.25">
      <c r="A46" s="25" t="s">
        <v>598</v>
      </c>
      <c r="B46" s="24"/>
      <c r="C46" s="24"/>
      <c r="D46" s="24"/>
      <c r="E46" s="24"/>
      <c r="F46" s="24"/>
      <c r="G46" s="24"/>
      <c r="H46" s="24"/>
      <c r="I46" s="24"/>
      <c r="J46" s="24"/>
      <c r="K46" s="24"/>
      <c r="L46" s="24"/>
      <c r="M46" s="24"/>
      <c r="N46" s="24"/>
      <c r="O46" s="24"/>
      <c r="P46" s="24"/>
      <c r="Q46" s="24"/>
      <c r="R46" s="24"/>
      <c r="S46" s="24"/>
      <c r="T46" s="24"/>
      <c r="U46" s="24"/>
      <c r="V46" s="24"/>
      <c r="W46" s="24"/>
    </row>
    <row r="47" spans="1:23" ht="15.6" customHeight="1" x14ac:dyDescent="0.25">
      <c r="A47" s="25" t="s">
        <v>599</v>
      </c>
      <c r="B47" s="24"/>
      <c r="C47" s="24"/>
      <c r="D47" s="24"/>
      <c r="E47" s="24"/>
      <c r="F47" s="24"/>
      <c r="G47" s="24"/>
      <c r="H47" s="24"/>
      <c r="I47" s="24"/>
      <c r="J47" s="24"/>
      <c r="K47" s="24"/>
      <c r="L47" s="24"/>
      <c r="M47" s="24"/>
      <c r="N47" s="24"/>
      <c r="O47" s="24"/>
      <c r="P47" s="24"/>
      <c r="Q47" s="24"/>
      <c r="R47" s="24"/>
      <c r="S47" s="24"/>
      <c r="T47" s="24"/>
      <c r="U47" s="24"/>
      <c r="V47" s="24"/>
      <c r="W47" s="24"/>
    </row>
    <row r="48" spans="1:23" ht="15.6" customHeight="1" x14ac:dyDescent="0.25">
      <c r="A48" s="25" t="s">
        <v>600</v>
      </c>
      <c r="B48" s="24"/>
      <c r="C48" s="24"/>
      <c r="D48" s="24"/>
      <c r="E48" s="24"/>
      <c r="F48" s="24"/>
      <c r="G48" s="24"/>
      <c r="H48" s="24"/>
      <c r="I48" s="24"/>
      <c r="J48" s="24"/>
      <c r="K48" s="24"/>
      <c r="L48" s="24"/>
      <c r="M48" s="24"/>
      <c r="N48" s="24"/>
      <c r="O48" s="24"/>
      <c r="P48" s="24"/>
      <c r="Q48" s="24"/>
      <c r="R48" s="24"/>
      <c r="S48" s="24"/>
      <c r="T48" s="24"/>
      <c r="U48" s="24"/>
      <c r="V48" s="24"/>
      <c r="W48" s="24"/>
    </row>
  </sheetData>
  <mergeCells count="7">
    <mergeCell ref="A36:W36"/>
    <mergeCell ref="A45:W45"/>
    <mergeCell ref="A1:W1"/>
    <mergeCell ref="A48:W48"/>
    <mergeCell ref="A2:W2"/>
    <mergeCell ref="A47:W47"/>
    <mergeCell ref="A46:W46"/>
  </mergeCells>
  <hyperlinks>
    <hyperlink ref="C5" r:id="rId1" xr:uid="{00000000-0004-0000-0100-000000000000}"/>
    <hyperlink ref="C6" r:id="rId2" xr:uid="{00000000-0004-0000-0100-000001000000}"/>
    <hyperlink ref="C7" r:id="rId3" xr:uid="{00000000-0004-0000-0100-000002000000}"/>
    <hyperlink ref="C8" r:id="rId4" xr:uid="{00000000-0004-0000-0100-000003000000}"/>
    <hyperlink ref="C9" r:id="rId5" xr:uid="{00000000-0004-0000-0100-000004000000}"/>
    <hyperlink ref="C10" r:id="rId6" xr:uid="{00000000-0004-0000-0100-000005000000}"/>
    <hyperlink ref="C11" r:id="rId7" xr:uid="{00000000-0004-0000-0100-000006000000}"/>
    <hyperlink ref="C12" r:id="rId8" xr:uid="{00000000-0004-0000-0100-000007000000}"/>
    <hyperlink ref="C13" r:id="rId9" xr:uid="{00000000-0004-0000-0100-000008000000}"/>
    <hyperlink ref="C14" r:id="rId10" xr:uid="{00000000-0004-0000-0100-000009000000}"/>
    <hyperlink ref="C15" r:id="rId11" xr:uid="{00000000-0004-0000-0100-00000A000000}"/>
    <hyperlink ref="C16" r:id="rId12" xr:uid="{00000000-0004-0000-0100-00000B000000}"/>
    <hyperlink ref="C17" r:id="rId13" xr:uid="{00000000-0004-0000-0100-00000C000000}"/>
    <hyperlink ref="C18" r:id="rId14" xr:uid="{00000000-0004-0000-0100-00000D000000}"/>
    <hyperlink ref="C19" r:id="rId15" xr:uid="{00000000-0004-0000-0100-00000E000000}"/>
    <hyperlink ref="C20" r:id="rId16" xr:uid="{00000000-0004-0000-0100-00000F000000}"/>
    <hyperlink ref="C21" r:id="rId17" xr:uid="{00000000-0004-0000-0100-000010000000}"/>
    <hyperlink ref="C22" r:id="rId18" xr:uid="{00000000-0004-0000-0100-000011000000}"/>
    <hyperlink ref="C23" r:id="rId19" xr:uid="{00000000-0004-0000-0100-000012000000}"/>
    <hyperlink ref="C24" r:id="rId20" xr:uid="{00000000-0004-0000-0100-000013000000}"/>
    <hyperlink ref="C25" r:id="rId21" xr:uid="{00000000-0004-0000-0100-000014000000}"/>
    <hyperlink ref="C26" r:id="rId22" xr:uid="{00000000-0004-0000-0100-000015000000}"/>
    <hyperlink ref="C27" r:id="rId23" xr:uid="{00000000-0004-0000-0100-000016000000}"/>
    <hyperlink ref="C28" r:id="rId24" xr:uid="{00000000-0004-0000-0100-000017000000}"/>
    <hyperlink ref="C29" r:id="rId25" xr:uid="{00000000-0004-0000-0100-000018000000}"/>
    <hyperlink ref="C30" r:id="rId26" xr:uid="{00000000-0004-0000-0100-000019000000}"/>
    <hyperlink ref="C31" r:id="rId27" xr:uid="{00000000-0004-0000-0100-00001A000000}"/>
    <hyperlink ref="C32" r:id="rId28" xr:uid="{00000000-0004-0000-0100-00001B000000}"/>
    <hyperlink ref="C33" r:id="rId29" xr:uid="{00000000-0004-0000-0100-00001C000000}"/>
    <hyperlink ref="C34" r:id="rId30" xr:uid="{00000000-0004-0000-0100-00001D000000}"/>
  </hyperlinks>
  <pageMargins left="0.75" right="0.75" top="1" bottom="1" header="0.5" footer="0.5"/>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NAM HÀ</vt:lpstr>
      <vt:lpstr>Số liệu Nam Hà</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Administrator</cp:lastModifiedBy>
  <dcterms:created xsi:type="dcterms:W3CDTF">2026-10-08T03:23:10Z</dcterms:created>
  <dcterms:modified xsi:type="dcterms:W3CDTF">2026-10-08T03:23:17Z</dcterms:modified>
</cp:coreProperties>
</file>