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HONGHAI\GPMcode\noi-dung\"/>
    </mc:Choice>
  </mc:AlternateContent>
  <xr:revisionPtr revIDLastSave="0" documentId="13_ncr:1_{D4E7DD42-68F9-4036-8933-2F59BEE0F03D}" xr6:coauthVersionLast="47" xr6:coauthVersionMax="47" xr10:uidLastSave="{00000000-0000-0000-0000-000000000000}"/>
  <bookViews>
    <workbookView xWindow="3720" yWindow="3720" windowWidth="21600" windowHeight="11385" xr2:uid="{00000000-000D-0000-FFFF-FFFF00000000}"/>
  </bookViews>
  <sheets>
    <sheet name="BS LÊ XUÂN HẢI" sheetId="1" r:id="rId1"/>
    <sheet name="Số liệu Lê Xuân Hải" sheetId="2" r:id="rId2"/>
  </sheets>
  <definedNames>
    <definedName name="_xlnm._FilterDatabase" localSheetId="1" hidden="1">'Số liệu Lê Xuân Hải'!$A$4:$T$34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T39" i="2" l="1"/>
  <c r="S39" i="2"/>
  <c r="R39" i="2"/>
  <c r="P39" i="2"/>
  <c r="L39" i="2"/>
  <c r="K39" i="2"/>
  <c r="J39" i="2"/>
  <c r="I39" i="2"/>
  <c r="H39" i="2"/>
  <c r="T38" i="2"/>
  <c r="S38" i="2"/>
  <c r="R38" i="2"/>
  <c r="P38" i="2"/>
  <c r="L38" i="2"/>
  <c r="K38" i="2"/>
  <c r="J38" i="2"/>
  <c r="I38" i="2"/>
  <c r="H38" i="2"/>
  <c r="Q34" i="2"/>
  <c r="O34" i="2"/>
  <c r="N34" i="2"/>
  <c r="M34" i="2"/>
  <c r="Q33" i="2"/>
  <c r="O33" i="2"/>
  <c r="N33" i="2"/>
  <c r="M33" i="2"/>
  <c r="Q32" i="2"/>
  <c r="O32" i="2"/>
  <c r="N32" i="2"/>
  <c r="M32" i="2"/>
  <c r="Q31" i="2"/>
  <c r="O31" i="2"/>
  <c r="N31" i="2"/>
  <c r="M31" i="2"/>
  <c r="Q30" i="2"/>
  <c r="O30" i="2"/>
  <c r="N30" i="2"/>
  <c r="M30" i="2"/>
  <c r="Q29" i="2"/>
  <c r="O29" i="2"/>
  <c r="N29" i="2"/>
  <c r="M29" i="2"/>
  <c r="Q28" i="2"/>
  <c r="O28" i="2"/>
  <c r="N28" i="2"/>
  <c r="M28" i="2"/>
  <c r="Q27" i="2"/>
  <c r="O27" i="2"/>
  <c r="N27" i="2"/>
  <c r="M27" i="2"/>
  <c r="Q26" i="2"/>
  <c r="O26" i="2"/>
  <c r="N26" i="2"/>
  <c r="M26" i="2"/>
  <c r="Q25" i="2"/>
  <c r="Q39" i="2" s="1"/>
  <c r="O25" i="2"/>
  <c r="O39" i="2" s="1"/>
  <c r="N25" i="2"/>
  <c r="N39" i="2" s="1"/>
  <c r="M25" i="2"/>
  <c r="Q24" i="2"/>
  <c r="O24" i="2"/>
  <c r="N24" i="2"/>
  <c r="M24" i="2"/>
  <c r="Q23" i="2"/>
  <c r="O23" i="2"/>
  <c r="N23" i="2"/>
  <c r="M23" i="2"/>
  <c r="Q22" i="2"/>
  <c r="O22" i="2"/>
  <c r="N22" i="2"/>
  <c r="M22" i="2"/>
  <c r="Q21" i="2"/>
  <c r="O21" i="2"/>
  <c r="N21" i="2"/>
  <c r="M21" i="2"/>
  <c r="Q20" i="2"/>
  <c r="O20" i="2"/>
  <c r="N20" i="2"/>
  <c r="M20" i="2"/>
  <c r="Q19" i="2"/>
  <c r="O19" i="2"/>
  <c r="N19" i="2"/>
  <c r="M19" i="2"/>
  <c r="Q18" i="2"/>
  <c r="O18" i="2"/>
  <c r="N18" i="2"/>
  <c r="M18" i="2"/>
  <c r="Q17" i="2"/>
  <c r="O17" i="2"/>
  <c r="N17" i="2"/>
  <c r="M17" i="2"/>
  <c r="Q16" i="2"/>
  <c r="O16" i="2"/>
  <c r="N16" i="2"/>
  <c r="M16" i="2"/>
  <c r="Q15" i="2"/>
  <c r="O15" i="2"/>
  <c r="N15" i="2"/>
  <c r="M15" i="2"/>
  <c r="Q14" i="2"/>
  <c r="O14" i="2"/>
  <c r="N14" i="2"/>
  <c r="M14" i="2"/>
  <c r="Q13" i="2"/>
  <c r="O13" i="2"/>
  <c r="N13" i="2"/>
  <c r="M13" i="2"/>
  <c r="Q12" i="2"/>
  <c r="O12" i="2"/>
  <c r="N12" i="2"/>
  <c r="M12" i="2"/>
  <c r="Q11" i="2"/>
  <c r="O11" i="2"/>
  <c r="N11" i="2"/>
  <c r="M11" i="2"/>
  <c r="Q10" i="2"/>
  <c r="O10" i="2"/>
  <c r="N10" i="2"/>
  <c r="M10" i="2"/>
  <c r="Q9" i="2"/>
  <c r="O9" i="2"/>
  <c r="N9" i="2"/>
  <c r="M9" i="2"/>
  <c r="Q8" i="2"/>
  <c r="O8" i="2"/>
  <c r="N8" i="2"/>
  <c r="M8" i="2"/>
  <c r="Q7" i="2"/>
  <c r="O7" i="2"/>
  <c r="N7" i="2"/>
  <c r="M7" i="2"/>
  <c r="Q6" i="2"/>
  <c r="O6" i="2"/>
  <c r="N6" i="2"/>
  <c r="M6" i="2"/>
  <c r="Q5" i="2"/>
  <c r="O5" i="2"/>
  <c r="O38" i="2" s="1"/>
  <c r="N5" i="2"/>
  <c r="M5" i="2"/>
  <c r="D15" i="1"/>
  <c r="D13" i="1"/>
  <c r="D12" i="1"/>
  <c r="D11" i="1"/>
  <c r="D9" i="1"/>
  <c r="D8" i="1"/>
  <c r="D7" i="1"/>
  <c r="N38" i="2" l="1"/>
  <c r="Q38" i="2"/>
  <c r="D10" i="1"/>
  <c r="D14" i="1"/>
  <c r="M39" i="2"/>
  <c r="M38" i="2"/>
</calcChain>
</file>

<file path=xl/sharedStrings.xml><?xml version="1.0" encoding="utf-8"?>
<sst xmlns="http://schemas.openxmlformats.org/spreadsheetml/2006/main" count="722" uniqueCount="475">
  <si>
    <t>THẺ QUY TẮC VIRAL · KÊNH PGS.TS.BS LÊ XUÂN HẢI</t>
  </si>
  <si>
    <t>Rút từ 30 video bác sĩ nói trực tiếp của PGS.TS.BS Lê Xuân Hải (69K theo dõi, miễn dịch – huyết học, y học tích hợp), đo ngày 07/10/2026. Số liệu từng video ở sheet "Số liệu Lê Xuân Hải". Cột "Áp dụng cho Bác sĩ Hội" theo DNA V1.3, sheet "Luật chung" và mã page P0–P13 trong file Phan-vai-14-page-Bac-si-Hoi.xlsx.</t>
  </si>
  <si>
    <t>SỐ CHÍNH</t>
  </si>
  <si>
    <t>#</t>
  </si>
  <si>
    <t>Chỉ số</t>
  </si>
  <si>
    <t>Giá trị</t>
  </si>
  <si>
    <t>Ghi chú</t>
  </si>
  <si>
    <t>Video đã phân tích</t>
  </si>
  <si>
    <t>30 video</t>
  </si>
  <si>
    <t>Lấy 20 video nhiều view nhất và 10 video ít view nhất trong 100 Reels gần nhất; chỉ tính video bác sĩ nói trực tiếp.</t>
  </si>
  <si>
    <t>Trung vị lượt xem · 20 video top</t>
  </si>
  <si>
    <t>Tổng 20 video top: 5,7 triệu lượt xem.</t>
  </si>
  <si>
    <t>Trung vị lượt xem · 10 video đáy</t>
  </si>
  <si>
    <t>Chênh khoảng 20 lần so với nhóm top.</t>
  </si>
  <si>
    <t>Video lớn nhất</t>
  </si>
  <si>
    <t>Bệnh nhân ung thư phơi nắng thế nào? (cẩm nang) · 4:51 · 12/02/2026 · 3,8K chia sẻ.</t>
  </si>
  <si>
    <t>Cảm xúc / lượt xem · top và đáy</t>
  </si>
  <si>
    <t>Gần bằng nhau: ai đã xem video đáy vẫn thích, chỉ là Facebook không phát rộng. Khác biệt nằm ở chủ đề và 3 giây đầu.</t>
  </si>
  <si>
    <t>Chủ đề đời thường / niềm tin</t>
  </si>
  <si>
    <t>Đời thường / niềm tin = ăn, uống, phơi, thở, mẹo hay bài thuốc đang lan truyền, lựa chọn điều trị.</t>
  </si>
  <si>
    <t>Câu hỏi trong 10 giây đầu</t>
  </si>
  <si>
    <t>Thân bài đánh số "thứ nhất – thứ hai – thứ ba"</t>
  </si>
  <si>
    <t>Tốc độ nói trung vị · top</t>
  </si>
  <si>
    <t>Tiếng/phút. Video nói nhanh nhất (242 tiếng/phút) nằm ở nhóm đáy.</t>
  </si>
  <si>
    <t>Độ dài trung vị · top và đáy</t>
  </si>
  <si>
    <t>Độ dài không tách được hai nhóm; chủ đề và hook mới tách được.</t>
  </si>
  <si>
    <t>Cụm phơi nắng</t>
  </si>
  <si>
    <t>8 video / 17 ngày · 2,27 triệu view</t>
  </si>
  <si>
    <t>Khi một chủ đề nổ, kênh làm liền cụm video trả lời câu hỏi con từ bình luận.</t>
  </si>
  <si>
    <t>Nhịp đăng giai đoạn nổ</t>
  </si>
  <si>
    <t>~1 video/ngày</t>
  </si>
  <si>
    <t>14/20 video top đăng trong 16/01–12/02/2026. Từ tháng 5 đăng thưa và ít video lớn.</t>
  </si>
  <si>
    <t>A. BỘ QUY TẮC VIRAL</t>
  </si>
  <si>
    <t>Mức độ: Bắt buộc = làm ở mọi video · Nên = làm khi phù hợp · Thử nghiệm = chạy thử nhỏ, đo rồi mới nhân rộng (DNA quyết định 129–130).</t>
  </si>
  <si>
    <t>Nhóm</t>
  </si>
  <si>
    <t>Quy tắc</t>
  </si>
  <si>
    <t>Làm thế nào</t>
  </si>
  <si>
    <t>Bằng chứng từ kênh Lê Xuân Hải</t>
  </si>
  <si>
    <t>Áp dụng cho Bác sĩ Hội</t>
  </si>
  <si>
    <t>Mức độ</t>
  </si>
  <si>
    <t>Định dạng</t>
  </si>
  <si>
    <t>Bác sĩ nói trực tiếp, nhìn thẳng máy, khung dọc ngang ngực</t>
  </si>
  <si>
    <t>Ngồi giữa khung, mic cài áo, nói như đang trả lời một người cụ thể.</t>
  </si>
  <si>
    <t>30/30 video phân tích là bác sĩ nói trực tiếp. Video không có bác sĩ nói (cảnh, vlog, chữ ghép ảnh) cao nhất 55K; 20 video top từ 98K đến 775K.</t>
  </si>
  <si>
    <t>Bác sĩ Hội nói trực tiếp, giọng 70% chuyên gia, 30% gần gũi (DNA ch.8). Xưng "tôi", gọi "cô chú" hoặc "anh chị" theo nhóm khách của từng page.</t>
  </si>
  <si>
    <t>Bắt buộc</t>
  </si>
  <si>
    <t>Chủ đề</t>
  </si>
  <si>
    <t>Chọn việc người xem đang làm hằng ngày hoặc điều họ đang tin</t>
  </si>
  <si>
    <t>Ăn gì, uống gì, kiêng gì, làm lúc nào, mẹo hay bài thuốc trên mạng có đúng không. Không chọn kiểu "X là gì".</t>
  </si>
  <si>
    <t>19/20 video top thuộc nhóm này; 10/10 video đáy là khái niệm, định nghĩa hoặc liệu pháp chuyên sâu. Video định nghĩa "Hội chứng rò rỉ ruột" chỉ 11K.</t>
  </si>
  <si>
    <t>P8: nhà có người đau dạ dày nấu gì. P10: cà phê, trà sữa, bỏ bữa sáng. P11: đi nhậu thế nào đỡ hại. P1: ăn tối mấy giờ, nằm nghiêng bên nào. Chủ đề bệnh học (HP, nội soi) vẫn làm nhưng mở bằng một câu hỏi đời thường.</t>
  </si>
  <si>
    <t>Biến mẹo dân gian, bài thuốc, trào lưu đang lan truyền thành video kiểm chứng</t>
  </si>
  <si>
    <t>Gọi đúng tên mẹo → điều đúng, điều chưa đúng, rủi ro → kết luận dùng thế nào cho an toàn.</t>
  </si>
  <si>
    <t>Nha đam – rượu – mật ong 504K (1,3K chia sẻ). Trào lưu nước cốt chanh 304K. Nhịn ăn, nước kiềm 144K.</t>
  </si>
  <si>
    <t>Dạng "Lầm tưởng – sự thật": nghệ + mật ong (P3), baking soda khi ợ chua (P1), kiêng chua cay tuyệt đối (P8). Kết luận theo DNA: không phủ nhận cực đoan, không hứa khỏi.</t>
  </si>
  <si>
    <t>Không lấy tên thuốc, liệu pháp hẹp hay ca bệnh hiếm làm chủ đề video</t>
  </si>
  <si>
    <t>Những chủ đề này chỉ chạm một nhóm rất nhỏ nên Facebook không phát rộng.</t>
  </si>
  <si>
    <t>Keytruda + Fucoidan 6,2K và 9,6K. Liệu pháp Ozone 10K. Đọc nguyên hồ sơ một ca u não 12K.</t>
  </si>
  <si>
    <t>Câu hỏi về thuốc cụ thể (thuốc dạ dày, phác đồ diệt HP) trả lời trong tin nhắn hoặc livestream. Nếu làm video: bác sĩ duyệt (DNA QĐ 110), không xúi ngừng thuốc (lằn ranh 4).</t>
  </si>
  <si>
    <t>Tiêu đề</t>
  </si>
  <si>
    <t>Tiêu đề là câu hỏi người bệnh hay hỏi, hiện bằng chữ to ngay khung hình đầu</t>
  </si>
  <si>
    <t>Khung chữ 2 dòng, chọn một khuôn ở mục C. Dòng phụ gọi đúng đối tượng.</t>
  </si>
  <si>
    <t>19/20 video top có câu hỏi hoặc lời hứa bằng chữ ngay khung hình đầu. Video đáy "Viêm mạn tính" không có chữ tiêu đề: 10K.</t>
  </si>
  <si>
    <t>"Trào ngược có uống cà phê được không?" · "Nghệ mật ong có chữa được đau dạ dày?" · Dòng phụ: "Người trào ngược – xem để áp dụng".</t>
  </si>
  <si>
    <t>Hook lời</t>
  </si>
  <si>
    <t>3 giây đầu: câu hỏi của người bệnh, một câu phản bác, hoặc một con số + lợi ích</t>
  </si>
  <si>
    <t>Không mở bằng "hôm nay chúng ta tìm hiểu…". Nếu chào thì một câu rồi vào câu hỏi ngay.</t>
  </si>
  <si>
    <t>Câu hỏi trong 10 giây đầu: 11/20 video top, 3/10 video đáy. 4/10 video đáy mở kiểu "buổi chia sẻ hôm nay" hoặc "chủ đề hôm nay".</t>
  </si>
  <si>
    <t>Hook 3 tầng DNA 14.25: gọi đúng tình trạng → mâu thuẫn → lời hứa. Ví dụ: "Uống thuốc thì đỡ nhưng dừng là trào ngược quay lại? Vấn đề có thể không chỉ nằm ở axit. Có 3 yếu tố cô chú cần xem lại."</t>
  </si>
  <si>
    <t>Trả lời ngắn trong 10 giây đầu, rồi mới giải thích</t>
  </si>
  <si>
    <t>Đáp án có / không / tùy trường hợp, kèm số ý sẽ nói.</t>
  </si>
  <si>
    <t>Video thịt heo 173K: đọc câu hỏi, trả lời ngay là ăn được, rồi nêu 3 lưu ý. Video phơi nắng 9h 323K: trả lời ngay, rồi mới giải thích vì sao.</t>
  </si>
  <si>
    <t>"Nhiều người vẫn uống được, nhưng có 3 kiểu uống cô chú nên tránh."</t>
  </si>
  <si>
    <t>Khi đã có video nổ, mở video sau bằng bằng chứng xã hội</t>
  </si>
  <si>
    <t>Nhắc video trước được nhiều người xem hoặc hỏi → hôm nay tổng hợp đầy đủ.</t>
  </si>
  <si>
    <t>Video lớn nhất kênh (775K) mở bằng việc video ngắn trước về ánh nắng đạt gần 300K lượt xem.</t>
  </si>
  <si>
    <t>Chỉ dùng số thật của chính page (Luật chung 4, lằn ranh 1). Mẫu: "Video về ợ chua ban đêm tuần trước có [số thật] câu hỏi. Hôm nay tôi trả lời đầy đủ."</t>
  </si>
  <si>
    <t>Nên</t>
  </si>
  <si>
    <t>Kịch bản</t>
  </si>
  <si>
    <t>Thân bài 3 ý đánh số, mỗi ý một ví dụ đời thường</t>
  </si>
  <si>
    <t>"Thứ nhất – thứ hai – thứ ba". Mỗi ý: cơ chế giải thích dễ hiểu, góc y học cổ truyền nếu có cơ sở, một việc làm cụ thể.</t>
  </si>
  <si>
    <t>Thân bài đánh số: 13/20 video top, 5/10 video đáy.</t>
  </si>
  <si>
    <t>Khớp 6 bước giọng DNA ch.8.5: mâu thuẫn → đồng cảm → quan điểm → giải thích đời thường → giải pháp cụ thể → kết có định hướng.</t>
  </si>
  <si>
    <t>Mỗi video có một ẩn dụ đời thường cho cơ chế</t>
  </si>
  <si>
    <t>So sánh với thứ người xem gặp hằng ngày để họ nhớ và kể lại được.</t>
  </si>
  <si>
    <t>Video "Tây y hay Đông y" 324K dùng hình ảnh đám cháy và lớp lá khô. Video "Phơi nắng đúng chỗ" 325K ví như sạc pin cho hệ miễn dịch.</t>
  </si>
  <si>
    <t>Cơ vòng thực quản như cánh cửa (DNA ch.8.5); niêm mạc như lớp chống thấm; đường ruột như khu vườn vi sinh.</t>
  </si>
  <si>
    <t>Lập trường</t>
  </si>
  <si>
    <t>Cân bằng: tôn trọng điều trị chính thống, ghi nhận cách tự nhiên, chỉ chống cực đoan</t>
  </si>
  <si>
    <t>Nêu cả lợi và rủi ro; kết luận luôn nhắc hỏi bác sĩ đang điều trị.</t>
  </si>
  <si>
    <t>Nha đam 504K: phân tích hoạt chất rồi khẳng định chưa có bằng chứng thay phác đồ. Thanh lọc cơ thể 144K: cái nguy nằm ở sự cực đoan. Người theo cả hai phía cùng xem và chia sẻ.</t>
  </si>
  <si>
    <t>Trùng DNA ch.8.8: không hạ thấp phương pháp khác. Video thuốc Tây – thuốc Nam kết luận "phối hợp đúng", không xúi bỏ thuốc (lằn ranh 4).</t>
  </si>
  <si>
    <t>Cảm xúc</t>
  </si>
  <si>
    <t>Chọn góc mà người xem muốn gửi cho người thân</t>
  </si>
  <si>
    <t>Góc người chăm sóc ("nếu nhà bạn có người…") hoặc kiến thức tổng hợp dạng cẩm nang để lưu lại.</t>
  </si>
  <si>
    <t>Chia sẻ nhiều nhất: cẩm nang phơi nắng 3,8K; "Từ chối hoá trị" 1,6K (21% số cảm xúc); nha đam 1,3K. Teaser kiêng hải sản mở bằng góc người nhà: 169K.</t>
  </si>
  <si>
    <t>P9 (con cái chăm bố mẹ), P8 (người nấu cho cả nhà): "Nếu bố mẹ hay ợ chua về đêm…", "Nhà có người đau dạ dày, bữa tối nên nấu gì?"</t>
  </si>
  <si>
    <t>Cụm chủ đề</t>
  </si>
  <si>
    <t>Video vượt 2 lần trung vị page → làm cụm 5–8 video trong 14 ngày</t>
  </si>
  <si>
    <t>Mỗi video trả lời một câu hỏi con lấy từ bình luận; khép cụm bằng một video cẩm nang tổng hợp.</t>
  </si>
  <si>
    <t>Cụm phơi nắng: 8 video trong 17 ngày, 2,27 triệu view. Câu hỏi con quá hẹp thì không chạy (phơi nắng theo tỉnh 13K, bù điện giải 33K).</t>
  </si>
  <si>
    <t>Mỗi cụm nằm trong lãnh thổ một page (Luật chung 6). Ví dụ P1: ăn tối mấy giờ → nằm nghiêng bên nào → kê cao đầu giường → cà phê → cẩm nang "một ngày của người trào ngược".</t>
  </si>
  <si>
    <t>Độ dài</t>
  </si>
  <si>
    <t>Kênh này viral ở hai độ dài: 25–40 giây và 2–4 phút</t>
  </si>
  <si>
    <t>25–40 giây (60–120 tiếng): một mẹo, một hành động làm ngay. 2–4 phút (350–700 tiếng): một câu hỏi, 3 ý. Trên 5 phút chỉ dùng khi chủ đề đã nổ.</t>
  </si>
  <si>
    <t>4 video top dài 24–39 giây (575K, 234K, 182K, 169K); 11/20 video top dài 1:44–4:51. Trung vị độ dài top 3:05, đáy 3:30: độ dài không quyết định, chủ đề mới quyết định.</t>
  </si>
  <si>
    <t>Bản ngắn khớp các dạng 20–75 giây ở sheet "Dạng nội dung". Bản 2–3 phút ("Bác sĩ trả lời") nên chạy thử trên P0, P8, P13 trước khi nhân rộng.</t>
  </si>
  <si>
    <t>Thử nghiệm</t>
  </si>
  <si>
    <t>Nhịp nói</t>
  </si>
  <si>
    <t>160–180 tiếng/phút, câu ngắn</t>
  </si>
  <si>
    <t>Đọc thử kịch bản và bấm giờ; quá 200 tiếng/phút thì cắt bớt ý.</t>
  </si>
  <si>
    <t>Trung vị tốc độ nói của video top: 168 tiếng/phút. Video "Viêm mạn tính" nói 242 tiếng/phút: 10K.</t>
  </si>
  <si>
    <t>DNA ch.8.6: ưu tiên câu ngắn, mỗi đoạn một ý.</t>
  </si>
  <si>
    <t>Lời mời</t>
  </si>
  <si>
    <t>Kết bằng một câu hỏi bình luận cụ thể hoặc một từ khoá</t>
  </si>
  <si>
    <t>Câu hỏi trả lời được trong một dòng (ở đâu, mấy giờ, ăn gì), hoặc "comment [từ khoá] để nhận tài liệu".</t>
  </si>
  <si>
    <t>Hỏi người xem ở tỉnh nào, phơi lúc mấy giờ → 1.000 bình luận (3,1/1.000 view, cao nhất nhóm top). Comment từ khoá để nhận bảng hướng dẫn → 610 bình luận.</t>
  </si>
  <si>
    <t>"Cô chú thường ăn tối lúc mấy giờ? Comment để tôi xem giúp." · "Comment THỰC ĐƠN để nhận thực đơn 7 ngày cho người trào ngược." Không tư vấn liều thuốc trong bình luận; mời nhắn tin.</t>
  </si>
  <si>
    <t>Câu chốt</t>
  </si>
  <si>
    <t>Kết bằng một câu giá trị ngắn, dễ nhớ</t>
  </si>
  <si>
    <t>Một câu đối xứng gói lại ý chính, đặt ngay trước lời mời.</t>
  </si>
  <si>
    <t>Video "Từ chối hoá trị" (473K) khép bằng một câu đối: chọn vì hiểu biết, không chọn vì sợ hãi.</t>
  </si>
  <si>
    <t>DNA ch.8.5 bước 6. Ví dụ: "Điều trị đúng không phải uống càng nhiều thuốc càng tốt, mà là tìm đúng yếu tố đang giữ bệnh."</t>
  </si>
  <si>
    <t>Hình ảnh</t>
  </si>
  <si>
    <t>Dàn dựng không quyết định view; nhận diện thì có</t>
  </si>
  <si>
    <t>Giữ một bối cảnh và một trang phục cho cả cụm; blouse trắng cho chủ đề chuyên môn.</t>
  </si>
  <si>
    <t>Hai video quay webcam đơn giản, không băng tên: 504K và 308K. Cả cụm phơi nắng quay cùng áo vest nâu, cổ lọ, nền tranh hoa.</t>
  </si>
  <si>
    <t>Theo mục "Nhận diện" của từng page (Luật chung 3). Nếu chạy quảng cáo thực phẩm bảo vệ sức khoẻ: Điều 27 Nghị định 15/2018 về hình ảnh bác sĩ, pháp chế duyệt trước.</t>
  </si>
  <si>
    <t>Dựng</t>
  </si>
  <si>
    <t>Băng tên học hàm + khung tiêu đề 2 dòng + dòng phụ chỉ đối tượng</t>
  </si>
  <si>
    <t>Băng tên góc trái; khung chữ hoa 2 dòng; dòng phụ kiểu "[Đối tượng] – xem ngay để áp dụng"; dải nền 1/3 dưới để mặt luôn hở.</t>
  </si>
  <si>
    <t>Gần như mọi video từ tháng 1/2026 dùng mẫu này; một số video có phụ đề song ngữ Việt – Anh.</t>
  </si>
  <si>
    <t>Giữ cấu trúc 3 lớp chữ, đổi màu theo page.</t>
  </si>
  <si>
    <t>Đăng</t>
  </si>
  <si>
    <t>Đăng đều khoảng 1 video/ngày; không đăng lại nguyên video; không chia "phần 1, 2, 3"</t>
  </si>
  <si>
    <t>Ý dài thì tách thành các video độc lập, mỗi video tự trọn ý.</t>
  </si>
  <si>
    <t>14/20 video top đăng trong 16/01–12/02/2026, giai đoạn khoảng 1 video/ngày. Đăng lại video "Ung thư máu" sau 10 ngày: 53K → 10K. Chuỗi hải sản: teaser 169K → phần 1 85K → phần 2 24K.</t>
  </si>
  <si>
    <t>Trùng Luật chung 1–2. Nhịp theo nhóm A/B/C ở sheet "Luật chung".</t>
  </si>
  <si>
    <t>Không chép</t>
  </si>
  <si>
    <t>Những điểm của kênh này Bác sĩ Hội không dùng</t>
  </si>
  <si>
    <t>Hook gắn chữ "ung thư" cho chủ đề thường; số phần trăm không nguồn; chủ đề từ chối hoặc ngừng điều trị; nêu tên nhãn sữa, nhãn thuốc.</t>
  </si>
  <si>
    <t>Kênh là bác sĩ miễn dịch – huyết học nên ung thư là chủ đề chính; có video nêu % tăng nguy cơ không kèm nguồn và video nêu tên nhãn sữa cụ thể.</t>
  </si>
  <si>
    <t>Chủ đề ung thư chỉ ở P6, bác sĩ duyệt 100%. Lằn ranh 1, 2, 4 (Luật chung) và DNA ch.14.34. Nhắc tên sản phẩm, nhãn hàng: pháp chế duyệt.</t>
  </si>
  <si>
    <t>Tránh</t>
  </si>
  <si>
    <t>Những thứ kéo video xuống đáy</t>
  </si>
  <si>
    <t>Định nghĩa "X là gì"; mở bằng "buổi chia sẻ hôm nay"; tên thuốc, liệu pháp hẹp; đọc nguyên hồ sơ ca hiếm; nói quá nhanh; không có chữ tiêu đề; đăng lại nguyên video.</t>
  </si>
  <si>
    <t>10 video đáy: 6,2K–12K view.</t>
  </si>
  <si>
    <t>Soát bằng mục D trước khi đăng.</t>
  </si>
  <si>
    <t>B1. KHUNG KỊCH BẢN VIDEO 2:00–3:00 (khoảng 380–540 tiếng)</t>
  </si>
  <si>
    <t>Mẫu: "Trào ngược có uống cà phê được không?" (P1 hoặc P10). Nội dung chuyên môn trong cột mẫu phải được bác sĩ duyệt trước khi quay.</t>
  </si>
  <si>
    <t>Giây</t>
  </si>
  <si>
    <t>Phần</t>
  </si>
  <si>
    <t>Việc phải làm</t>
  </si>
  <si>
    <t>Cách kênh Lê Xuân Hải làm</t>
  </si>
  <si>
    <t>Mẫu cho Bác sĩ Hội</t>
  </si>
  <si>
    <t>Độ dài lời</t>
  </si>
  <si>
    <t>0–3 giây</t>
  </si>
  <si>
    <t>Hook + chữ tiêu đề</t>
  </si>
  <si>
    <t>Đọc câu hỏi của người bệnh hoặc nêu một câu phản bác; chữ tiêu đề hiện ngay.</t>
  </si>
  <si>
    <t>Đọc lại câu hỏi người xem gửi về.</t>
  </si>
  <si>
    <t>"Bác sĩ ơi, trào ngược có uống cà phê được không?"</t>
  </si>
  <si>
    <t>10–20 tiếng</t>
  </si>
  <si>
    <t>3–10 giây</t>
  </si>
  <si>
    <t>Trả lời ngắn + hứa số ý</t>
  </si>
  <si>
    <t>Có / không / tùy trường hợp, kèm số ý sẽ nói.</t>
  </si>
  <si>
    <t>Trả lời ngay, báo trước sẽ có mấy lưu ý.</t>
  </si>
  <si>
    <t>20–35 tiếng</t>
  </si>
  <si>
    <t>10–25 giây</t>
  </si>
  <si>
    <t>Đồng cảm + hiểu lầm</t>
  </si>
  <si>
    <t>Gọi tên nỗi lo hoặc lời đồn mọi người đang tin.</t>
  </si>
  <si>
    <t>Nhắc lời kiêng khem trong nhà hoặc trào lưu trên mạng.</t>
  </si>
  <si>
    <t>"Nhiều cô chú nghe nói trào ngược là phải bỏ hẳn cà phê. Bỏ được vài hôm lại thèm, uống lại thì sợ."</t>
  </si>
  <si>
    <t>40–60 tiếng</t>
  </si>
  <si>
    <t>25–55 giây</t>
  </si>
  <si>
    <t>Ý 1</t>
  </si>
  <si>
    <t>Cơ chế + một ẩn dụ đời thường.</t>
  </si>
  <si>
    <t>Giải thích cơ chế hiện đại, thêm góc y học cổ truyền khi có cơ sở.</t>
  </si>
  <si>
    <t>"Thứ nhất, tránh uống lúc bụng đói. Cơ vòng giống như một cánh cửa…"</t>
  </si>
  <si>
    <t>80–110 tiếng</t>
  </si>
  <si>
    <t>55–85 giây</t>
  </si>
  <si>
    <t>Ý 2</t>
  </si>
  <si>
    <t>Một việc cụ thể làm được ngay.</t>
  </si>
  <si>
    <t>Mỗi ý kèm một việc làm cụ thể.</t>
  </si>
  <si>
    <t>"Thứ hai, uống loãng hơn, uống sau bữa sáng, không uống gần giờ ngủ."</t>
  </si>
  <si>
    <t>85–115 giây</t>
  </si>
  <si>
    <t>Ý 3</t>
  </si>
  <si>
    <t>Trường hợp cần cẩn thận hơn.</t>
  </si>
  <si>
    <t>Nêu nhóm người cần hỏi bác sĩ trước.</t>
  </si>
  <si>
    <t>"Thứ ba, nếu đang trong đợt đau hoặc đang điều trị viêm loét, cô chú hỏi bác sĩ đang điều trị trước khi uống lại."</t>
  </si>
  <si>
    <t>115–135 giây</t>
  </si>
  <si>
    <t>An toàn</t>
  </si>
  <si>
    <t>Khi nào phải đi khám; nhắc hỏi bác sĩ đang điều trị.</t>
  </si>
  <si>
    <t>Luôn nhắc tham vấn bác sĩ điều trị trực tiếp trước khi dùng thêm thứ gì.</t>
  </si>
  <si>
    <t>"Nếu ợ chua kèm nuốt nghẹn tăng dần, sụt cân nhanh, nôn ra máu hay đi ngoài phân đen, cô chú cần đi khám ngay." (lằn ranh 5)</t>
  </si>
  <si>
    <t>30–50 tiếng</t>
  </si>
  <si>
    <t>135–150 giây</t>
  </si>
  <si>
    <t>Câu chốt + lời mời</t>
  </si>
  <si>
    <t>Một câu giá trị + một câu hỏi bình luận cụ thể.</t>
  </si>
  <si>
    <t>Hỏi người xem một câu trả lời được trong một dòng.</t>
  </si>
  <si>
    <t>"Cà phê không phải kẻ thù, cách uống mới là chuyện chính. Cô chú thường uống lúc mấy giờ? Comment để tôi xem giúp."</t>
  </si>
  <si>
    <t>30–45 tiếng</t>
  </si>
  <si>
    <t>B2. KHUNG VIDEO NGẮN 25–40 GIÂY (khoảng 60–120 tiếng)</t>
  </si>
  <si>
    <t>Dạng "Làm theo bác sĩ" hoặc "Lầm tưởng – sự thật". Mẫu: nằm nghiêng trái cho người trào ngược đêm (P1). Bác sĩ duyệt trước khi quay.</t>
  </si>
  <si>
    <t>Con số / lợi ích / lầm tưởng</t>
  </si>
  <si>
    <t>Một câu nói lợi ích cụ thể hoặc một lời đồn; chữ hiện ngay.</t>
  </si>
  <si>
    <t>Con số + lợi ích (15 phút nắng mỗi ngày), hoặc một lời mời thử ngay.</t>
  </si>
  <si>
    <t>"Một thay đổi nhỏ khi ngủ cho người hay trào ngược ban đêm."</t>
  </si>
  <si>
    <t>3–25 giây</t>
  </si>
  <si>
    <t>Một hành động, chia bước</t>
  </si>
  <si>
    <t>Đếm bước, làm mẫu trước máy.</t>
  </si>
  <si>
    <t>Làm mẫu bài thở theo nhịp đếm.</t>
  </si>
  <si>
    <t>"Nằm nghiêng bên trái. Kê cao đầu giường khoảng một gang tay. Ăn tối xong chờ ít nhất 3 tiếng rồi mới nằm."</t>
  </si>
  <si>
    <t>40–70 tiếng</t>
  </si>
  <si>
    <t>25–35 giây</t>
  </si>
  <si>
    <t>Vì sao (một câu)</t>
  </si>
  <si>
    <t>Một câu cơ chế dễ hiểu.</t>
  </si>
  <si>
    <t>Một câu nối hành động với lợi ích.</t>
  </si>
  <si>
    <t>"Khi nằm nghiêng trái, dạ dày nằm thấp hơn thực quản nên dịch khó trào lên hơn."</t>
  </si>
  <si>
    <t>15–25 tiếng</t>
  </si>
  <si>
    <t>35–40 giây</t>
  </si>
  <si>
    <t>Câu giá trị + lời mời thử và kể lại.</t>
  </si>
  <si>
    <t>Một câu khẩu hiệu ngắn.</t>
  </si>
  <si>
    <t>"Thử 7 tối rồi comment cho tôi biết đêm có đỡ ợ chua không."</t>
  </si>
  <si>
    <t>B3. KHUNG VIDEO CẨM NANG 4–5 PHÚT (khép một cụm chủ đề)</t>
  </si>
  <si>
    <t>Chỉ làm khi cụm đã có video vượt 2 lần trung vị page. Mở bằng hook bốn nhịp DNA 14.26.</t>
  </si>
  <si>
    <t>0–10 giây</t>
  </si>
  <si>
    <t>Bằng chứng xã hội + gọi đúng người</t>
  </si>
  <si>
    <t>Nhắc video trước của chính page và số câu hỏi thật nhận được.</t>
  </si>
  <si>
    <t>Mở bằng thành tích video ngắn trước (gần 300K lượt xem).</t>
  </si>
  <si>
    <t>"Video về ợ chua ban đêm tuần trước có [số thật] câu hỏi. Nếu cô chú bị trào ngược nhiều năm…"</t>
  </si>
  <si>
    <t>30–40 tiếng</t>
  </si>
  <si>
    <t>10–30 giây</t>
  </si>
  <si>
    <t>Vòng lặp + phá hiểu lầm + lời hứa</t>
  </si>
  <si>
    <t>Nhịp 2–4 của hook bốn nhịp.</t>
  </si>
  <si>
    <t>Hứa tổng hợp thành một cẩm nang hoàn chỉnh.</t>
  </si>
  <si>
    <t>"…uống thuốc thì đỡ, dừng là tái, thì vấn đề có thể không chỉ do axit. Hôm nay tôi gom lại thành một cẩm nang từ sáng đến tối."</t>
  </si>
  <si>
    <t>50–70 tiếng</t>
  </si>
  <si>
    <t>30 giây–4:00</t>
  </si>
  <si>
    <t>4–5 mục của cẩm nang</t>
  </si>
  <si>
    <t>Mỗi mục là một câu hỏi con đã có trong cụm.</t>
  </si>
  <si>
    <t>Lần lượt giờ giấc, vị trí, dinh dưỡng, lưu ý cá thể.</t>
  </si>
  <si>
    <t>Giờ ăn tối · tư thế ngủ · đồ uống · món nên nấu · khi nào phải đi khám.</t>
  </si>
  <si>
    <t>500–650 tiếng</t>
  </si>
  <si>
    <t>4:00–4:30</t>
  </si>
  <si>
    <t>Dấu hiệu cần đi khám; không tự ngừng thuốc.</t>
  </si>
  <si>
    <t>Nhắc người có bệnh nền nhắn tin để được tư vấn riêng.</t>
  </si>
  <si>
    <t>"Đừng tự ngưng thuốc trước khi hỏi bác sĩ đang điều trị." (lằn ranh 4, 5)</t>
  </si>
  <si>
    <t>4:30–5:00</t>
  </si>
  <si>
    <t>Câu chốt + lời mời lưu, chia sẻ</t>
  </si>
  <si>
    <t>Mời lưu video và gửi cho người nhà.</t>
  </si>
  <si>
    <t>Mời chia sẻ cho người đồng hành.</t>
  </si>
  <si>
    <t>"Lưu video này lại, gửi cho người trong nhà đang bị trào ngược."</t>
  </si>
  <si>
    <t>C. 14 KHUÔN TIÊU ĐỀ ĐÃ CHẠY Ở KÊNH NÀY</t>
  </si>
  <si>
    <t>Tầng phễu</t>
  </si>
  <si>
    <t>Khuôn tiêu đề</t>
  </si>
  <si>
    <t>Video gốc của kênh (lượt xem)</t>
  </si>
  <si>
    <t>Vì sao chạy</t>
  </si>
  <si>
    <t>Mẫu cho Bác sĩ Hội (page)</t>
  </si>
  <si>
    <t>Duyệt</t>
  </si>
  <si>
    <t>TOFU</t>
  </si>
  <si>
    <t>[Mẹo / bài thuốc đang lan truyền] có [chữa / tốt] thật không?</t>
  </si>
  <si>
    <t>Nha đam – Rượu – Mật ong (504K) · Nước cốt chanh chữa bách bệnh? (304K)</t>
  </si>
  <si>
    <t>Gọi tên thứ người xem đang làm hoặc định làm.</t>
  </si>
  <si>
    <t>Nghệ + mật ong có chữa được đau dạ dày? (P3) · Uống baking soda khi ợ chua: nên hay không? (P1)</t>
  </si>
  <si>
    <t>Bác sĩ</t>
  </si>
  <si>
    <t>Chỉ [N phút / một việc] mỗi ngày: [lợi ích]</t>
  </si>
  <si>
    <t>Ánh nắng có lợi nhiều hơn bạn nghĩ (575K)</t>
  </si>
  <si>
    <t>Lời hứa nhỏ, làm được ngay.</t>
  </si>
  <si>
    <t>Chỉ 10 phút đi bộ nhẹ sau bữa tối: bớt đầy bụng, bớt ợ chua đêm (P1, P10)</t>
  </si>
  <si>
    <t>—</t>
  </si>
  <si>
    <t>[Hành động] đúng cách để [lợi ích]</t>
  </si>
  <si>
    <t>Thở đúng cách tăng cường miễn dịch (182K) · Phơi nắng đúng chỗ (325K)</t>
  </si>
  <si>
    <t>Hướng dẫn làm theo ngay.</t>
  </si>
  <si>
    <t>Thở bụng đúng cách khi căng thẳng làm dạ dày khó chịu (P12)</t>
  </si>
  <si>
    <t>Nhà có người [bệnh]: có phải [lời kiêng] không?</t>
  </si>
  <si>
    <t>Ung thư có phải kiêng tôm, cua, cá, mực? (169K)</t>
  </si>
  <si>
    <t>Góc người chăm sóc, chạm lời đồn trong gia đình.</t>
  </si>
  <si>
    <t>Nhà có người đau dạ dày: có phải kiêng chua cay tuyệt đối? (P8, P9)</t>
  </si>
  <si>
    <t>MOFU</t>
  </si>
  <si>
    <t>[Người bệnh] có [ăn / uống] được [món] không?</t>
  </si>
  <si>
    <t>Bệnh nhân ung thư có ăn được thịt heo không? (173K)</t>
  </si>
  <si>
    <t>Đúng câu người bệnh hỏi thật.</t>
  </si>
  <si>
    <t>Trào ngược có uống cà phê được không? (P1, P10) · Đau dạ dày ăn xôi được không? (P8)</t>
  </si>
  <si>
    <t>[Người bệnh] nên [uống / ăn] gì?</t>
  </si>
  <si>
    <t>Ung thư nên uống sữa gì? (165K) · Ăn gì để diệt ung thư? (308K)</t>
  </si>
  <si>
    <t>Câu hỏi mua sắm hằng ngày.</t>
  </si>
  <si>
    <t>Người đau dạ dày nên uống sữa gì? (P8)</t>
  </si>
  <si>
    <t>Pháp chế nếu nêu nhãn hàng</t>
  </si>
  <si>
    <t>[Hành động] lúc [giờ]: nên hay không nên?</t>
  </si>
  <si>
    <t>Phơi nắng lúc 9h sáng: nên hay không nên? (323K)</t>
  </si>
  <si>
    <t>Phản bác công thức chung, nói về cá thể hoá.</t>
  </si>
  <si>
    <t>Ăn tối lúc 9 giờ: nên hay không với người trào ngược? (P1)</t>
  </si>
  <si>
    <t>[Hành động] không sợ [nỗi sợ cụ thể]</t>
  </si>
  <si>
    <t>Phơi nắng không sợ nám (200K)</t>
  </si>
  <si>
    <t>Gỡ đúng nỗi sợ đang ngăn người xem hành động.</t>
  </si>
  <si>
    <t>Uống thuốc dạ dày lâu năm: điều gì cần kiểm tra? (P9, P13) · Sợ nội soi: những điều cần biết trước khi đi (P5)</t>
  </si>
  <si>
    <t>[A] hay [B]: chọn bên nào?</t>
  </si>
  <si>
    <t>Điều trị ung thư: chọn Tây y hay Đông y? (324K)</t>
  </si>
  <si>
    <t>Người theo cả hai phía cùng vào xem và bình luận.</t>
  </si>
  <si>
    <t>Thuốc Tây hay thuốc Nam cho người viêm dạ dày? Kết luận: phối hợp đúng (P13)</t>
  </si>
  <si>
    <t>Tại sao có người [làm ngược số đông]?</t>
  </si>
  <si>
    <t>Tại sao có người từ chối hoá trị? (473K)</t>
  </si>
  <si>
    <t>Tò mò và tranh luận mạnh.</t>
  </si>
  <si>
    <t>Tại sao diệt HP rồi mà vẫn đau? (P4, P13) · Không dùng góc từ chối hay ngừng điều trị.</t>
  </si>
  <si>
    <t>[N] nhóm [món / thói quen] khiến [vấn đề] khó kiểm soát</t>
  </si>
  <si>
    <t>3 nhóm thực phẩm nuôi ung thư (168K)</t>
  </si>
  <si>
    <t>Danh sách có số, dễ lưu lại.</t>
  </si>
  <si>
    <t>3 nhóm món ăn khiến trào ngược đêm khó kiểm soát hơn (P1, P8)</t>
  </si>
  <si>
    <t>[Vấn đề sau điều trị] cần làm gì?</t>
  </si>
  <si>
    <t>Thiếu máu sau điều trị ung thư cần làm gì? (118K)</t>
  </si>
  <si>
    <t>Người đang ở đúng giai đoạn đó tìm cách làm.</t>
  </si>
  <si>
    <t>Diệt HP xong vẫn đầy bụng: cần làm gì tiếp? (P4)</t>
  </si>
  <si>
    <t>[Trào lưu] hay [hậu quả]: ranh giới mong manh</t>
  </si>
  <si>
    <t>Thanh lọc cơ thể hay tự sát: ranh giới mong manh (144K)</t>
  </si>
  <si>
    <t>Mâu thuẫn mạnh, nội dung vẫn cân bằng.</t>
  </si>
  <si>
    <t>Nhịn ăn cho dạ dày "nghỉ": tốt hay hại? (P3)</t>
  </si>
  <si>
    <t>BOFU</t>
  </si>
  <si>
    <t>Cẩm nang [chủ đề] bỏ túi</t>
  </si>
  <si>
    <t>Bệnh nhân ung thư phơi nắng thế nào? Cẩm nang bỏ túi (775K)</t>
  </si>
  <si>
    <t>Khép cụm, dễ lưu và gửi người nhà.</t>
  </si>
  <si>
    <t>Cẩm nang một ngày ăn uống của người trào ngược (P1, P8)</t>
  </si>
  <si>
    <t>D. CHECKLIST TRƯỚC KHI ĐĂNG</t>
  </si>
  <si>
    <t>Chọn "Có" hoặc "Không" ở cột Đạt. Một câu "Không" là phải sửa trước khi đăng (DNA ch.4). Điểm content phải đạt từ 9,5/10 theo DNA quyết định 111–113.</t>
  </si>
  <si>
    <t>Câu hỏi</t>
  </si>
  <si>
    <t>Đạt?</t>
  </si>
  <si>
    <t>Viral</t>
  </si>
  <si>
    <t>Chủ đề là việc người xem làm hằng ngày hoặc điều họ đang tin?</t>
  </si>
  <si>
    <t>Có câu hỏi, câu phản bác hoặc con số trong 3 giây đầu, và chữ tiêu đề hiện ngay khung đầu?</t>
  </si>
  <si>
    <t>Có đáp án ngắn trong 10 giây đầu?</t>
  </si>
  <si>
    <t>Thân bài 3 ý đánh số, mỗi ý có một ví dụ đời thường?</t>
  </si>
  <si>
    <t>Kết bằng một câu giá trị và một câu hỏi bình luận cụ thể hoặc từ khoá?</t>
  </si>
  <si>
    <t>Độ dài đúng khung (25–40 giây, hoặc 2–3 phút khi đang thử nghiệm) và nói không quá 200 tiếng/phút?</t>
  </si>
  <si>
    <t>Luật chung</t>
  </si>
  <si>
    <t>Video chưa từng lên page nào, chủ đề nằm trong lãnh thổ page, đã ghi Sổ chủ đề?</t>
  </si>
  <si>
    <t>Không bịa số liệu, không gắn một dấu hiệu với ung thư, không hứa khỏi, không xúi bỏ thuốc, dấu hiệu nguy hiểm có kèm "đi khám ngay"?</t>
  </si>
  <si>
    <t>DNA</t>
  </si>
  <si>
    <t>Nội dung đúng chuyên môn?</t>
  </si>
  <si>
    <t>Người bệnh dễ hiểu?</t>
  </si>
  <si>
    <t>Không dùng ngôn ngữ gây hoang mang quá mức?</t>
  </si>
  <si>
    <t>Không hứa vượt quá bằng chứng hiện có?</t>
  </si>
  <si>
    <t>Giúp người xem hành động đúng hơn?</t>
  </si>
  <si>
    <t>Tôn trọng người bệnh?</t>
  </si>
  <si>
    <t>Đặt lợi ích người bệnh trước lợi ích thương mại?</t>
  </si>
  <si>
    <t>Phù hợp hình ảnh chuyên gia đáng tin cậy?</t>
  </si>
  <si>
    <t>Nếu người thân của mình xem, mình có muốn họ xem nội dung này không?</t>
  </si>
  <si>
    <t>Nội dung làm tăng niềm tin dài hạn vào thương hiệu?</t>
  </si>
  <si>
    <t>Số liệu 30 video · PGS.TS.BS Lê Xuân Hải</t>
  </si>
  <si>
    <t>Kênh facebook.com/xuanhai.le.14/reels · 69K theo dõi · đo ngày 07/10/2026. 20 video nhiều view nhất và 10 video ít view nhất trong 100 Reels gần nhất, chỉ tính video bác sĩ nói trực tiếp (bỏ video chữ ghép ảnh, vlog, clip quay ngang). Cột M–O và Q là công thức; ô nền trắng còn lại là số đo.</t>
  </si>
  <si>
    <t># trên lưới Reels</t>
  </si>
  <si>
    <t>Link Reel</t>
  </si>
  <si>
    <t>Ngày đăng</t>
  </si>
  <si>
    <t>Tiêu đề trên màn hình</t>
  </si>
  <si>
    <t>Loại chủ đề</t>
  </si>
  <si>
    <t>Kiểu mở đầu (3–10 giây đầu)</t>
  </si>
  <si>
    <t>Thời lượng</t>
  </si>
  <si>
    <t>Lượt xem</t>
  </si>
  <si>
    <t>Bình luận</t>
  </si>
  <si>
    <t>Chia sẻ</t>
  </si>
  <si>
    <t>Cảm xúc / lượt xem</t>
  </si>
  <si>
    <t>Bình luận / 1.000 lượt xem</t>
  </si>
  <si>
    <t>Chia sẻ / cảm xúc</t>
  </si>
  <si>
    <t>Số tiếng lời thoại</t>
  </si>
  <si>
    <t>Tiếng / phút</t>
  </si>
  <si>
    <t>Thân bài đánh số (thứ nhất…)</t>
  </si>
  <si>
    <t>Có mời bình luận</t>
  </si>
  <si>
    <t>Top</t>
  </si>
  <si>
    <t>https://www.facebook.com/reel/2051360805639377</t>
  </si>
  <si>
    <t>Bệnh nhân ung thư phơi nắng thế nào? (cẩm nang)</t>
  </si>
  <si>
    <t>Đời thường / niềm tin</t>
  </si>
  <si>
    <t>Bằng chứng xã hội: video trước gần 300K view</t>
  </si>
  <si>
    <t>Không</t>
  </si>
  <si>
    <t>Có</t>
  </si>
  <si>
    <t>https://www.facebook.com/reel/861392706896398</t>
  </si>
  <si>
    <t>Ánh nắng có lợi nhiều hơn bạn nghĩ</t>
  </si>
  <si>
    <t>Con số + lợi ích (15 phút mỗi ngày)</t>
  </si>
  <si>
    <t>https://www.facebook.com/reel/1288836496684221</t>
  </si>
  <si>
    <t>Ung thư có nên dùng Nha đam – Rượu – Mật ong?</t>
  </si>
  <si>
    <t>Đọc câu hỏi người xem về bài thuốc lan truyền</t>
  </si>
  <si>
    <t>https://www.facebook.com/reel/26181567814762805</t>
  </si>
  <si>
    <t>Tại sao có người từ chối hóa trị?</t>
  </si>
  <si>
    <t>Câu hỏi gây tranh luận, chữ to toàn màn hình</t>
  </si>
  <si>
    <t>https://www.facebook.com/reel/890532260479836</t>
  </si>
  <si>
    <t>Phơi nắng đúng chỗ</t>
  </si>
  <si>
    <t>Câu hỏi của bệnh nhân + nghi vấn "đau đâu phơi đó"</t>
  </si>
  <si>
    <t>https://www.facebook.com/reel/4135736596739513</t>
  </si>
  <si>
    <t>Ung thư – đừng chỉ chọn "diệt" (Tây y hay Đông y)</t>
  </si>
  <si>
    <t>Quan điểm + ẩn dụ chiến tranh</t>
  </si>
  <si>
    <t>https://www.facebook.com/reel/1823766131669277</t>
  </si>
  <si>
    <t>Phơi nắng lúc 9h sáng: nên hay không nên?</t>
  </si>
  <si>
    <t>Câu hỏi người bệnh + phản bác ngay</t>
  </si>
  <si>
    <t>https://www.facebook.com/reel/1772530660763780</t>
  </si>
  <si>
    <t>Ăn gì để diệt ung thư?</t>
  </si>
  <si>
    <t>Đảo câu hỏi: dinh dưỡng không chữa nhưng đổi môi trường</t>
  </si>
  <si>
    <t>https://www.facebook.com/reel/849241631520987</t>
  </si>
  <si>
    <t>Trào lưu uống nước cốt chanh chữa bách bệnh?</t>
  </si>
  <si>
    <t>Lời chào kiểu chương trình; chữ tiêu đề nêu trào lưu</t>
  </si>
  <si>
    <t>https://www.facebook.com/reel/1424437715739555</t>
  </si>
  <si>
    <t>Tăng miễn dịch từ bữa ăn của bạn</t>
  </si>
  <si>
    <t>Câu hỏi "Muốn…?" + lời khuyên ngay</t>
  </si>
  <si>
    <t>https://www.facebook.com/reel/1204673261788837</t>
  </si>
  <si>
    <t>Phơi nắng không sợ nám</t>
  </si>
  <si>
    <t>Nỗi sợ cụ thể của một nhóm (sạm nám)</t>
  </si>
  <si>
    <t>https://www.facebook.com/reel/829652570108221</t>
  </si>
  <si>
    <t>Thở đúng cách tăng cường hệ miễn dịch</t>
  </si>
  <si>
    <t>Hành động làm ngay (hít 4 – giữ 4 – thở 6)</t>
  </si>
  <si>
    <t>https://www.facebook.com/reel/1274621411198939</t>
  </si>
  <si>
    <t>Bệnh nhân ung thư có ăn được thịt heo không?</t>
  </si>
  <si>
    <t>Câu hỏi người bệnh → trả lời "có" ngay</t>
  </si>
  <si>
    <t>https://www.facebook.com/reel/1095057363108628</t>
  </si>
  <si>
    <t>Ung thư có phải kiêng tôm, cua, cá, mực? (teaser)</t>
  </si>
  <si>
    <t>Lời kiêng khem trong gia đình, bỏ lửng</t>
  </si>
  <si>
    <t>https://www.facebook.com/reel/877189588450823</t>
  </si>
  <si>
    <t>3 nhóm thực phẩm nuôi ung thư</t>
  </si>
  <si>
    <t>Mở kiểu buổi chia sẻ → món quen "âm thầm" tăng nguy cơ</t>
  </si>
  <si>
    <t>https://www.facebook.com/reel/1614059526286917</t>
  </si>
  <si>
    <t>Ung thư nên uống sữa gì?</t>
  </si>
  <si>
    <t>Đọc câu hỏi người xem</t>
  </si>
  <si>
    <t>https://www.facebook.com/reel/1383866749544145</t>
  </si>
  <si>
    <t>Thanh lọc cơ thể hay tự sát: ranh giới mong manh</t>
  </si>
  <si>
    <t>Câu hỏi người xem về mẹo trên mạng</t>
  </si>
  <si>
    <t>https://www.facebook.com/reel/1253706242963459</t>
  </si>
  <si>
    <t>Hóa xạ trị xong uống sữa gì?</t>
  </si>
  <si>
    <t>Câu hỏi đại diện trong tuần</t>
  </si>
  <si>
    <t>https://www.facebook.com/reel/2967343810126378</t>
  </si>
  <si>
    <t>Thiếu máu sau điều trị ung thư cần làm gì?</t>
  </si>
  <si>
    <t>Đọc câu hỏi → trả lời thẳng</t>
  </si>
  <si>
    <t>https://www.facebook.com/reel/1687796778970848</t>
  </si>
  <si>
    <t>Mô hình 5 tầng sức khỏe Dr. HaiLee</t>
  </si>
  <si>
    <t>Khung lý thuyết</t>
  </si>
  <si>
    <t>Tự giới thiệu học hàm + câu hỏi lớn</t>
  </si>
  <si>
    <t>Đáy</t>
  </si>
  <si>
    <t>https://www.facebook.com/reel/2212575685938127</t>
  </si>
  <si>
    <t>Nhức đầu, mất ngủ sau mổ u não</t>
  </si>
  <si>
    <t>Chuyên sâu / khái niệm</t>
  </si>
  <si>
    <t>Đọc nguyên hồ sơ một ca hiếm</t>
  </si>
  <si>
    <t>https://www.facebook.com/reel/1432162831589755</t>
  </si>
  <si>
    <t>Hội chứng rò rỉ ruột</t>
  </si>
  <si>
    <t>Chào + "hôm nay xin trao đổi về" + định nghĩa</t>
  </si>
  <si>
    <t>https://www.facebook.com/reel/1452637866430742</t>
  </si>
  <si>
    <t>Ung thư máu và những điều bạn cần biết</t>
  </si>
  <si>
    <t>Định nghĩa; bản đăng lại của video #95 (53K)</t>
  </si>
  <si>
    <t>https://www.facebook.com/reel/944723978498152</t>
  </si>
  <si>
    <t>Nhịn ăn chữa bệnh</t>
  </si>
  <si>
    <t>"Chủ đề hôm nay là…" + lịch sử giải Nobel</t>
  </si>
  <si>
    <t>https://www.facebook.com/reel/2809774122698392</t>
  </si>
  <si>
    <t>Các phương pháp xét nghiệm tầm soát ung thư</t>
  </si>
  <si>
    <t>"Trong buổi chia sẻ ngày hôm nay…"</t>
  </si>
  <si>
    <t>https://www.facebook.com/reel/1365200522252966</t>
  </si>
  <si>
    <t>Viêm mạn tính</t>
  </si>
  <si>
    <t>Định nghĩa; không có chữ tiêu đề</t>
  </si>
  <si>
    <t>https://www.facebook.com/reel/2059387161333008</t>
  </si>
  <si>
    <t>Đánh thức miễn dịch bằng liệu pháp Ozone</t>
  </si>
  <si>
    <t>Câu hỏi tu từ + thuật ngữ chuyên sâu</t>
  </si>
  <si>
    <t>https://www.facebook.com/reel/801384709641533</t>
  </si>
  <si>
    <t>Keytruda có uống được Fucoidan không? (P1)</t>
  </si>
  <si>
    <t>Câu hỏi về thuốc chuyên sâu</t>
  </si>
  <si>
    <t>https://www.facebook.com/reel/2103551087034950</t>
  </si>
  <si>
    <t>Chăm sóc sức khỏe trước bệnh viện</t>
  </si>
  <si>
    <t>Khái niệm trừu tượng "pre-hospital"</t>
  </si>
  <si>
    <t>https://www.facebook.com/reel/1405849347889130</t>
  </si>
  <si>
    <t>Keytruda có uống được Fucoidan không? (P2)</t>
  </si>
  <si>
    <t>Câu hỏi về thuốc chuyên sâu, phần 2</t>
  </si>
  <si>
    <t>Tổng hợp (công thức)</t>
  </si>
  <si>
    <t>Bình luận / 1.000</t>
  </si>
  <si>
    <t>Số tiếng</t>
  </si>
  <si>
    <t>Câu hỏi 10 giây đầu</t>
  </si>
  <si>
    <t>Thân bài đánh số</t>
  </si>
  <si>
    <t>Mời bình luận</t>
  </si>
  <si>
    <t>Top 20</t>
  </si>
  <si>
    <t>Trung vị (đếm "Có" ở 3 cột cuối)</t>
  </si>
  <si>
    <t>Đáy 10</t>
  </si>
  <si>
    <t>Nguồn: lượt xem lấy từ lưới Reels; cảm xúc, bình luận, chia sẻ lấy từ trang từng Reel ngày 07/10/2026. Facebook hiển thị số đã làm tròn (ví dụ 23,2K) nên các cột này là số làm tròn.</t>
  </si>
  <si>
    <t>Số tiếng, câu hỏi 10 giây đầu, thân bài đánh số, mời bình luận: đếm từ lời thoại chép tự động bằng Whisper, có thể sai chính tả vài chỗ. "Câu hỏi 10 giây đầu" = có dấu hỏi trong phần lời 10 giây đầu.</t>
  </si>
  <si>
    <t>Cụm phơi nắng (8 video, 30/01–15/02/2026): #86 575K · #79 323K · #78 33K · #77 325K · #76 200K · #75 13K · #74 775K · #71 22K = 2,27 triệu view. #78, #75, #71 không nằm trong 30 video trên.</t>
  </si>
  <si>
    <t>Đăng lại: #95 "Ung thư máu và những điều bạn cần biết" (21/01/2026) 53K; cùng video đăng lại #85 (31/01/2026) 10K. Chuỗi hải sản: teaser #7 169K → phần 1 #6 85K → phần 2 #5 24K → phần 3 #4 53K.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</si>
</sst>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5" formatCode="dd/mm/yyyy"/>
    <numFmt numFmtId="166" formatCode="[m]:ss"/>
    <numFmt numFmtId="167" formatCode="0.0%"/>
    <numFmt numFmtId="168" formatCode="0.0"/>
  </numFmts>
  <fonts count="9" x14ac:knownFonts="1">
    <font>
      <sz val="11"/>
      <color theme="1"/>
      <name val="Calibri"/>
      <family val="2"/>
      <scheme val="minor"/>
    </font>
    <font>
      <b/>
      <sz val="15"/>
      <color rgb="FFFFFFFF"/>
      <name val="Arial"/>
    </font>
    <font>
      <sz val="10"/>
      <color rgb="FF444444"/>
      <name val="Arial"/>
    </font>
    <font>
      <b/>
      <sz val="10"/>
      <color rgb="FFFFFFFF"/>
      <name val="Arial"/>
    </font>
    <font>
      <sz val="10"/>
      <name val="Arial"/>
    </font>
    <font>
      <u/>
      <sz val="10"/>
      <color rgb="FF1155CC"/>
      <name val="Arial"/>
    </font>
    <font>
      <b/>
      <sz val="11"/>
      <color rgb="FF0B6B6B"/>
      <name val="Arial"/>
    </font>
    <font>
      <b/>
      <sz val="10"/>
      <name val="Arial"/>
    </font>
    <font>
      <i/>
      <sz val="9"/>
      <color rgb="FF666666"/>
      <name val="Arial"/>
    </font>
  </fonts>
  <fills count="8">
    <fill>
      <patternFill patternType="none"/>
    </fill>
    <fill>
      <patternFill patternType="gray125"/>
    </fill>
    <fill>
      <patternFill patternType="solid">
        <fgColor rgb="FF0B6B6B"/>
      </patternFill>
    </fill>
    <fill>
      <patternFill patternType="solid">
        <fgColor rgb="FFF1F7F7"/>
      </patternFill>
    </fill>
    <fill>
      <patternFill patternType="solid">
        <fgColor rgb="FFFDE2E1"/>
      </patternFill>
    </fill>
    <fill>
      <patternFill patternType="solid">
        <fgColor rgb="FFFFF4D6"/>
      </patternFill>
    </fill>
    <fill>
      <patternFill patternType="solid">
        <fgColor rgb="FFE3ECFB"/>
      </patternFill>
    </fill>
    <fill>
      <patternFill patternType="solid">
        <fgColor rgb="FFFFFBEA"/>
      </patternFill>
    </fill>
  </fills>
  <borders count="2">
    <border>
      <left/>
      <right/>
      <top/>
      <bottom/>
      <diagonal/>
    </border>
    <border>
      <left style="thin">
        <color rgb="FFD0D7D7"/>
      </left>
      <right style="thin">
        <color rgb="FFD0D7D7"/>
      </right>
      <top style="thin">
        <color rgb="FFD0D7D7"/>
      </top>
      <bottom style="thin">
        <color rgb="FFD0D7D7"/>
      </bottom>
      <diagonal/>
    </border>
  </borders>
  <cellStyleXfs count="1">
    <xf numFmtId="0" fontId="0" fillId="0" borderId="0"/>
  </cellStyleXfs>
  <cellXfs count="46">
    <xf numFmtId="0" fontId="0" fillId="0" borderId="0" xfId="0"/>
    <xf numFmtId="0" fontId="3" fillId="2" borderId="1" xfId="0" applyFont="1" applyFill="1" applyBorder="1" applyAlignment="1">
      <alignment horizontal="center" vertical="top" wrapText="1"/>
    </xf>
    <xf numFmtId="0" fontId="4" fillId="0" borderId="1" xfId="0" applyFont="1" applyBorder="1" applyAlignment="1">
      <alignment vertical="top" wrapText="1"/>
    </xf>
    <xf numFmtId="0" fontId="7" fillId="0" borderId="1" xfId="0" applyFont="1" applyBorder="1" applyAlignment="1">
      <alignment vertical="top" wrapText="1"/>
    </xf>
    <xf numFmtId="3" fontId="7" fillId="0" borderId="1" xfId="0" applyNumberFormat="1" applyFont="1" applyBorder="1" applyAlignment="1">
      <alignment vertical="top" wrapText="1"/>
    </xf>
    <xf numFmtId="1" fontId="7" fillId="0" borderId="1" xfId="0" applyNumberFormat="1" applyFont="1" applyBorder="1" applyAlignment="1">
      <alignment vertical="top" wrapText="1"/>
    </xf>
    <xf numFmtId="0" fontId="4" fillId="4" borderId="1" xfId="0" applyFont="1" applyFill="1" applyBorder="1" applyAlignment="1">
      <alignment horizontal="center" vertical="top" wrapText="1"/>
    </xf>
    <xf numFmtId="0" fontId="4" fillId="5" borderId="1" xfId="0" applyFont="1" applyFill="1" applyBorder="1" applyAlignment="1">
      <alignment horizontal="center" vertical="top" wrapText="1"/>
    </xf>
    <xf numFmtId="0" fontId="4" fillId="6" borderId="1" xfId="0" applyFont="1" applyFill="1" applyBorder="1" applyAlignment="1">
      <alignment horizontal="center" vertical="top" wrapText="1"/>
    </xf>
    <xf numFmtId="0" fontId="4" fillId="0" borderId="1" xfId="0" applyFont="1" applyBorder="1" applyAlignment="1">
      <alignment horizontal="center" vertical="top" wrapText="1"/>
    </xf>
    <xf numFmtId="0" fontId="4" fillId="7" borderId="1" xfId="0" applyFont="1" applyFill="1" applyBorder="1" applyAlignment="1">
      <alignment vertical="top" wrapText="1"/>
    </xf>
    <xf numFmtId="0" fontId="5" fillId="0" borderId="1" xfId="0" applyFont="1" applyBorder="1" applyAlignment="1">
      <alignment vertical="top" wrapText="1"/>
    </xf>
    <xf numFmtId="165" fontId="4" fillId="0" borderId="1" xfId="0" applyNumberFormat="1" applyFont="1" applyBorder="1" applyAlignment="1">
      <alignment vertical="top" wrapText="1"/>
    </xf>
    <xf numFmtId="166" fontId="4" fillId="0" borderId="1" xfId="0" applyNumberFormat="1" applyFont="1" applyBorder="1" applyAlignment="1">
      <alignment vertical="top" wrapText="1"/>
    </xf>
    <xf numFmtId="3" fontId="4" fillId="0" borderId="1" xfId="0" applyNumberFormat="1" applyFont="1" applyBorder="1" applyAlignment="1">
      <alignment vertical="top" wrapText="1"/>
    </xf>
    <xf numFmtId="167" fontId="4" fillId="0" borderId="1" xfId="0" applyNumberFormat="1" applyFont="1" applyBorder="1" applyAlignment="1">
      <alignment vertical="top" wrapText="1"/>
    </xf>
    <xf numFmtId="168" fontId="4" fillId="0" borderId="1" xfId="0" applyNumberFormat="1" applyFont="1" applyBorder="1" applyAlignment="1">
      <alignment vertical="top" wrapText="1"/>
    </xf>
    <xf numFmtId="9" fontId="4" fillId="0" borderId="1" xfId="0" applyNumberFormat="1" applyFont="1" applyBorder="1" applyAlignment="1">
      <alignment vertical="top" wrapText="1"/>
    </xf>
    <xf numFmtId="1" fontId="4" fillId="0" borderId="1" xfId="0" applyNumberFormat="1" applyFont="1" applyBorder="1" applyAlignment="1">
      <alignment vertical="top" wrapText="1"/>
    </xf>
    <xf numFmtId="0" fontId="4" fillId="3" borderId="1" xfId="0" applyFont="1" applyFill="1" applyBorder="1" applyAlignment="1">
      <alignment vertical="top" wrapText="1"/>
    </xf>
    <xf numFmtId="0" fontId="5" fillId="3" borderId="1" xfId="0" applyFont="1" applyFill="1" applyBorder="1" applyAlignment="1">
      <alignment vertical="top" wrapText="1"/>
    </xf>
    <xf numFmtId="165" fontId="4" fillId="3" borderId="1" xfId="0" applyNumberFormat="1" applyFont="1" applyFill="1" applyBorder="1" applyAlignment="1">
      <alignment vertical="top" wrapText="1"/>
    </xf>
    <xf numFmtId="166" fontId="4" fillId="3" borderId="1" xfId="0" applyNumberFormat="1" applyFont="1" applyFill="1" applyBorder="1" applyAlignment="1">
      <alignment vertical="top" wrapText="1"/>
    </xf>
    <xf numFmtId="3" fontId="4" fillId="3" borderId="1" xfId="0" applyNumberFormat="1" applyFont="1" applyFill="1" applyBorder="1" applyAlignment="1">
      <alignment vertical="top" wrapText="1"/>
    </xf>
    <xf numFmtId="167" fontId="4" fillId="3" borderId="1" xfId="0" applyNumberFormat="1" applyFont="1" applyFill="1" applyBorder="1" applyAlignment="1">
      <alignment vertical="top" wrapText="1"/>
    </xf>
    <xf numFmtId="168" fontId="4" fillId="3" borderId="1" xfId="0" applyNumberFormat="1" applyFont="1" applyFill="1" applyBorder="1" applyAlignment="1">
      <alignment vertical="top" wrapText="1"/>
    </xf>
    <xf numFmtId="9" fontId="4" fillId="3" borderId="1" xfId="0" applyNumberFormat="1" applyFont="1" applyFill="1" applyBorder="1" applyAlignment="1">
      <alignment vertical="top" wrapText="1"/>
    </xf>
    <xf numFmtId="1" fontId="4" fillId="3" borderId="1" xfId="0" applyNumberFormat="1" applyFont="1" applyFill="1" applyBorder="1" applyAlignment="1">
      <alignment vertical="top" wrapText="1"/>
    </xf>
    <xf numFmtId="0" fontId="7" fillId="0" borderId="1" xfId="0" applyFont="1" applyBorder="1"/>
    <xf numFmtId="0" fontId="0" fillId="0" borderId="1" xfId="0" applyBorder="1"/>
    <xf numFmtId="0" fontId="4" fillId="0" borderId="1" xfId="0" applyFont="1" applyBorder="1"/>
    <xf numFmtId="166" fontId="4" fillId="0" borderId="1" xfId="0" applyNumberFormat="1" applyFont="1" applyBorder="1"/>
    <xf numFmtId="3" fontId="4" fillId="0" borderId="1" xfId="0" applyNumberFormat="1" applyFont="1" applyBorder="1"/>
    <xf numFmtId="167" fontId="4" fillId="0" borderId="1" xfId="0" applyNumberFormat="1" applyFont="1" applyBorder="1"/>
    <xf numFmtId="168" fontId="4" fillId="0" borderId="1" xfId="0" applyNumberFormat="1" applyFont="1" applyBorder="1"/>
    <xf numFmtId="9" fontId="4" fillId="0" borderId="1" xfId="0" applyNumberFormat="1" applyFont="1" applyBorder="1"/>
    <xf numFmtId="1" fontId="4" fillId="0" borderId="1" xfId="0" applyNumberFormat="1" applyFont="1" applyBorder="1"/>
    <xf numFmtId="0" fontId="4" fillId="0" borderId="1" xfId="0" applyFont="1" applyBorder="1" applyAlignment="1">
      <alignment vertical="top" wrapText="1"/>
    </xf>
    <xf numFmtId="0" fontId="6" fillId="0" borderId="0" xfId="0" applyFont="1"/>
    <xf numFmtId="0" fontId="0" fillId="0" borderId="0" xfId="0"/>
    <xf numFmtId="0" fontId="8" fillId="0" borderId="0" xfId="0" applyFont="1"/>
    <xf numFmtId="0" fontId="8" fillId="0" borderId="0" xfId="0" applyFont="1" applyAlignment="1">
      <alignment vertical="top" wrapText="1"/>
    </xf>
    <xf numFmtId="0" fontId="1" fillId="2" borderId="0" xfId="0" applyFont="1" applyFill="1" applyAlignment="1">
      <alignment vertical="center" indent="1"/>
    </xf>
    <xf numFmtId="0" fontId="0" fillId="2" borderId="0" xfId="0" applyFill="1"/>
    <xf numFmtId="0" fontId="3" fillId="2" borderId="1" xfId="0" applyFont="1" applyFill="1" applyBorder="1" applyAlignment="1">
      <alignment horizontal="center" vertical="top" wrapText="1"/>
    </xf>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www.facebook.com/reel/1772530660763780" TargetMode="External"/><Relationship Id="rId13" Type="http://schemas.openxmlformats.org/officeDocument/2006/relationships/hyperlink" Target="https://www.facebook.com/reel/1274621411198939" TargetMode="External"/><Relationship Id="rId18" Type="http://schemas.openxmlformats.org/officeDocument/2006/relationships/hyperlink" Target="https://www.facebook.com/reel/1253706242963459" TargetMode="External"/><Relationship Id="rId26" Type="http://schemas.openxmlformats.org/officeDocument/2006/relationships/hyperlink" Target="https://www.facebook.com/reel/1365200522252966" TargetMode="External"/><Relationship Id="rId3" Type="http://schemas.openxmlformats.org/officeDocument/2006/relationships/hyperlink" Target="https://www.facebook.com/reel/1288836496684221" TargetMode="External"/><Relationship Id="rId21" Type="http://schemas.openxmlformats.org/officeDocument/2006/relationships/hyperlink" Target="https://www.facebook.com/reel/2212575685938127" TargetMode="External"/><Relationship Id="rId7" Type="http://schemas.openxmlformats.org/officeDocument/2006/relationships/hyperlink" Target="https://www.facebook.com/reel/1823766131669277" TargetMode="External"/><Relationship Id="rId12" Type="http://schemas.openxmlformats.org/officeDocument/2006/relationships/hyperlink" Target="https://www.facebook.com/reel/829652570108221" TargetMode="External"/><Relationship Id="rId17" Type="http://schemas.openxmlformats.org/officeDocument/2006/relationships/hyperlink" Target="https://www.facebook.com/reel/1383866749544145" TargetMode="External"/><Relationship Id="rId25" Type="http://schemas.openxmlformats.org/officeDocument/2006/relationships/hyperlink" Target="https://www.facebook.com/reel/2809774122698392" TargetMode="External"/><Relationship Id="rId2" Type="http://schemas.openxmlformats.org/officeDocument/2006/relationships/hyperlink" Target="https://www.facebook.com/reel/861392706896398" TargetMode="External"/><Relationship Id="rId16" Type="http://schemas.openxmlformats.org/officeDocument/2006/relationships/hyperlink" Target="https://www.facebook.com/reel/1614059526286917" TargetMode="External"/><Relationship Id="rId20" Type="http://schemas.openxmlformats.org/officeDocument/2006/relationships/hyperlink" Target="https://www.facebook.com/reel/1687796778970848" TargetMode="External"/><Relationship Id="rId29" Type="http://schemas.openxmlformats.org/officeDocument/2006/relationships/hyperlink" Target="https://www.facebook.com/reel/2103551087034950" TargetMode="External"/><Relationship Id="rId1" Type="http://schemas.openxmlformats.org/officeDocument/2006/relationships/hyperlink" Target="https://www.facebook.com/reel/2051360805639377" TargetMode="External"/><Relationship Id="rId6" Type="http://schemas.openxmlformats.org/officeDocument/2006/relationships/hyperlink" Target="https://www.facebook.com/reel/4135736596739513" TargetMode="External"/><Relationship Id="rId11" Type="http://schemas.openxmlformats.org/officeDocument/2006/relationships/hyperlink" Target="https://www.facebook.com/reel/1204673261788837" TargetMode="External"/><Relationship Id="rId24" Type="http://schemas.openxmlformats.org/officeDocument/2006/relationships/hyperlink" Target="https://www.facebook.com/reel/944723978498152" TargetMode="External"/><Relationship Id="rId5" Type="http://schemas.openxmlformats.org/officeDocument/2006/relationships/hyperlink" Target="https://www.facebook.com/reel/890532260479836" TargetMode="External"/><Relationship Id="rId15" Type="http://schemas.openxmlformats.org/officeDocument/2006/relationships/hyperlink" Target="https://www.facebook.com/reel/877189588450823" TargetMode="External"/><Relationship Id="rId23" Type="http://schemas.openxmlformats.org/officeDocument/2006/relationships/hyperlink" Target="https://www.facebook.com/reel/1452637866430742" TargetMode="External"/><Relationship Id="rId28" Type="http://schemas.openxmlformats.org/officeDocument/2006/relationships/hyperlink" Target="https://www.facebook.com/reel/801384709641533" TargetMode="External"/><Relationship Id="rId10" Type="http://schemas.openxmlformats.org/officeDocument/2006/relationships/hyperlink" Target="https://www.facebook.com/reel/1424437715739555" TargetMode="External"/><Relationship Id="rId19" Type="http://schemas.openxmlformats.org/officeDocument/2006/relationships/hyperlink" Target="https://www.facebook.com/reel/2967343810126378" TargetMode="External"/><Relationship Id="rId4" Type="http://schemas.openxmlformats.org/officeDocument/2006/relationships/hyperlink" Target="https://www.facebook.com/reel/26181567814762805" TargetMode="External"/><Relationship Id="rId9" Type="http://schemas.openxmlformats.org/officeDocument/2006/relationships/hyperlink" Target="https://www.facebook.com/reel/849241631520987" TargetMode="External"/><Relationship Id="rId14" Type="http://schemas.openxmlformats.org/officeDocument/2006/relationships/hyperlink" Target="https://www.facebook.com/reel/1095057363108628" TargetMode="External"/><Relationship Id="rId22" Type="http://schemas.openxmlformats.org/officeDocument/2006/relationships/hyperlink" Target="https://www.facebook.com/reel/1432162831589755" TargetMode="External"/><Relationship Id="rId27" Type="http://schemas.openxmlformats.org/officeDocument/2006/relationships/hyperlink" Target="https://www.facebook.com/reel/2059387161333008" TargetMode="External"/><Relationship Id="rId30" Type="http://schemas.openxmlformats.org/officeDocument/2006/relationships/hyperlink" Target="https://www.facebook.com/reel/140584934788913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111"/>
  <sheetViews>
    <sheetView tabSelected="1" workbookViewId="0">
      <pane ySplit="2" topLeftCell="A3" activePane="bottomLeft" state="frozen"/>
      <selection pane="bottomLeft" sqref="A1:G1"/>
    </sheetView>
  </sheetViews>
  <sheetFormatPr defaultRowHeight="15" x14ac:dyDescent="0.25"/>
  <cols>
    <col min="1" max="1" width="5" customWidth="1"/>
    <col min="2" max="2" width="13" customWidth="1"/>
    <col min="3" max="3" width="32" customWidth="1"/>
    <col min="4" max="5" width="44" customWidth="1"/>
    <col min="6" max="6" width="48" customWidth="1"/>
    <col min="7" max="7" width="12" customWidth="1"/>
  </cols>
  <sheetData>
    <row r="1" spans="1:7" ht="30" customHeight="1" x14ac:dyDescent="0.25">
      <c r="A1" s="42" t="s">
        <v>0</v>
      </c>
      <c r="B1" s="43"/>
      <c r="C1" s="43"/>
      <c r="D1" s="43"/>
      <c r="E1" s="43"/>
      <c r="F1" s="43"/>
      <c r="G1" s="43"/>
    </row>
    <row r="2" spans="1:7" ht="42" customHeight="1" x14ac:dyDescent="0.25">
      <c r="A2" s="45" t="s">
        <v>1</v>
      </c>
      <c r="B2" s="39"/>
      <c r="C2" s="39"/>
      <c r="D2" s="39"/>
      <c r="E2" s="39"/>
      <c r="F2" s="39"/>
      <c r="G2" s="39"/>
    </row>
    <row r="4" spans="1:7" ht="21.95" customHeight="1" x14ac:dyDescent="0.25">
      <c r="A4" s="38" t="s">
        <v>2</v>
      </c>
      <c r="B4" s="39"/>
      <c r="C4" s="39"/>
      <c r="D4" s="39"/>
      <c r="E4" s="39"/>
      <c r="F4" s="39"/>
      <c r="G4" s="39"/>
    </row>
    <row r="5" spans="1:7" ht="30" customHeight="1" x14ac:dyDescent="0.25">
      <c r="A5" s="1" t="s">
        <v>3</v>
      </c>
      <c r="B5" s="44" t="s">
        <v>4</v>
      </c>
      <c r="C5" s="44"/>
      <c r="D5" s="1" t="s">
        <v>5</v>
      </c>
      <c r="E5" s="44" t="s">
        <v>6</v>
      </c>
      <c r="F5" s="44"/>
      <c r="G5" s="44"/>
    </row>
    <row r="6" spans="1:7" ht="30.4" customHeight="1" x14ac:dyDescent="0.25">
      <c r="A6" s="2">
        <v>1</v>
      </c>
      <c r="B6" s="37" t="s">
        <v>7</v>
      </c>
      <c r="C6" s="37"/>
      <c r="D6" s="3" t="s">
        <v>8</v>
      </c>
      <c r="E6" s="37" t="s">
        <v>9</v>
      </c>
      <c r="F6" s="37"/>
      <c r="G6" s="37"/>
    </row>
    <row r="7" spans="1:7" ht="17.25" customHeight="1" x14ac:dyDescent="0.25">
      <c r="A7" s="2">
        <v>2</v>
      </c>
      <c r="B7" s="37" t="s">
        <v>10</v>
      </c>
      <c r="C7" s="37"/>
      <c r="D7" s="4">
        <f>MEDIAN('Số liệu Lê Xuân Hải'!I5:I24)</f>
        <v>217000</v>
      </c>
      <c r="E7" s="37" t="s">
        <v>11</v>
      </c>
      <c r="F7" s="37"/>
      <c r="G7" s="37"/>
    </row>
    <row r="8" spans="1:7" ht="17.25" customHeight="1" x14ac:dyDescent="0.25">
      <c r="A8" s="2">
        <v>3</v>
      </c>
      <c r="B8" s="37" t="s">
        <v>12</v>
      </c>
      <c r="C8" s="37"/>
      <c r="D8" s="4">
        <f>MEDIAN('Số liệu Lê Xuân Hải'!I25:I34)</f>
        <v>10000</v>
      </c>
      <c r="E8" s="37" t="s">
        <v>13</v>
      </c>
      <c r="F8" s="37"/>
      <c r="G8" s="37"/>
    </row>
    <row r="9" spans="1:7" ht="17.25" customHeight="1" x14ac:dyDescent="0.25">
      <c r="A9" s="2">
        <v>4</v>
      </c>
      <c r="B9" s="37" t="s">
        <v>14</v>
      </c>
      <c r="C9" s="37"/>
      <c r="D9" s="4">
        <f>MAX('Số liệu Lê Xuân Hải'!I5:I24)</f>
        <v>775000</v>
      </c>
      <c r="E9" s="37" t="s">
        <v>15</v>
      </c>
      <c r="F9" s="37"/>
      <c r="G9" s="37"/>
    </row>
    <row r="10" spans="1:7" ht="30.4" customHeight="1" x14ac:dyDescent="0.25">
      <c r="A10" s="2">
        <v>5</v>
      </c>
      <c r="B10" s="37" t="s">
        <v>16</v>
      </c>
      <c r="C10" s="37"/>
      <c r="D10" s="3" t="str">
        <f>TEXT(MEDIAN('Số liệu Lê Xuân Hải'!M5:M24),"0.0%")&amp;" và "&amp;TEXT(MEDIAN('Số liệu Lê Xuân Hải'!M25:M34),"0.0%")</f>
        <v>2.0% và 2.0%</v>
      </c>
      <c r="E10" s="37" t="s">
        <v>17</v>
      </c>
      <c r="F10" s="37"/>
      <c r="G10" s="37"/>
    </row>
    <row r="11" spans="1:7" ht="17.25" customHeight="1" x14ac:dyDescent="0.25">
      <c r="A11" s="2">
        <v>6</v>
      </c>
      <c r="B11" s="37" t="s">
        <v>18</v>
      </c>
      <c r="C11" s="37"/>
      <c r="D11" s="3" t="str">
        <f>COUNTIF('Số liệu Lê Xuân Hải'!F5:F24,"Đời thường / niềm tin")&amp;"/20 top · "&amp;COUNTIF('Số liệu Lê Xuân Hải'!F25:F34,"Đời thường / niềm tin")&amp;"/10 đáy"</f>
        <v>19/20 top · 0/10 đáy</v>
      </c>
      <c r="E11" s="37" t="s">
        <v>19</v>
      </c>
      <c r="F11" s="37"/>
      <c r="G11" s="37"/>
    </row>
    <row r="12" spans="1:7" ht="17.25" customHeight="1" x14ac:dyDescent="0.25">
      <c r="A12" s="2">
        <v>7</v>
      </c>
      <c r="B12" s="37" t="s">
        <v>20</v>
      </c>
      <c r="C12" s="37"/>
      <c r="D12" s="3" t="str">
        <f>COUNTIF('Số liệu Lê Xuân Hải'!R5:R24,"Có")&amp;"/20 top · "&amp;COUNTIF('Số liệu Lê Xuân Hải'!R25:R34,"Có")&amp;"/10 đáy"</f>
        <v>11/20 top · 3/10 đáy</v>
      </c>
      <c r="E12" s="37"/>
      <c r="F12" s="37"/>
      <c r="G12" s="37"/>
    </row>
    <row r="13" spans="1:7" ht="30.4" customHeight="1" x14ac:dyDescent="0.25">
      <c r="A13" s="2">
        <v>8</v>
      </c>
      <c r="B13" s="37" t="s">
        <v>21</v>
      </c>
      <c r="C13" s="37"/>
      <c r="D13" s="3" t="str">
        <f>COUNTIF('Số liệu Lê Xuân Hải'!S5:S24,"Có")&amp;"/20 top · "&amp;COUNTIF('Số liệu Lê Xuân Hải'!S25:S34,"Có")&amp;"/10 đáy"</f>
        <v>13/20 top · 5/10 đáy</v>
      </c>
      <c r="E13" s="37"/>
      <c r="F13" s="37"/>
      <c r="G13" s="37"/>
    </row>
    <row r="14" spans="1:7" ht="17.25" customHeight="1" x14ac:dyDescent="0.25">
      <c r="A14" s="2">
        <v>9</v>
      </c>
      <c r="B14" s="37" t="s">
        <v>22</v>
      </c>
      <c r="C14" s="37"/>
      <c r="D14" s="5">
        <f>MEDIAN('Số liệu Lê Xuân Hải'!Q5:Q24)</f>
        <v>168.00258288765482</v>
      </c>
      <c r="E14" s="37" t="s">
        <v>23</v>
      </c>
      <c r="F14" s="37"/>
      <c r="G14" s="37"/>
    </row>
    <row r="15" spans="1:7" ht="17.25" customHeight="1" x14ac:dyDescent="0.25">
      <c r="A15" s="2">
        <v>10</v>
      </c>
      <c r="B15" s="37" t="s">
        <v>24</v>
      </c>
      <c r="C15" s="37"/>
      <c r="D15" s="3" t="str">
        <f>TEXT(MEDIAN('Số liệu Lê Xuân Hải'!H5:H24),"[m]:ss")&amp;" và "&amp;TEXT(MEDIAN('Số liệu Lê Xuân Hải'!H25:H34),"[m]:ss")</f>
        <v>3:05 và 3:30</v>
      </c>
      <c r="E15" s="37" t="s">
        <v>25</v>
      </c>
      <c r="F15" s="37"/>
      <c r="G15" s="37"/>
    </row>
    <row r="16" spans="1:7" ht="17.25" customHeight="1" x14ac:dyDescent="0.25">
      <c r="A16" s="2">
        <v>11</v>
      </c>
      <c r="B16" s="37" t="s">
        <v>26</v>
      </c>
      <c r="C16" s="37"/>
      <c r="D16" s="3" t="s">
        <v>27</v>
      </c>
      <c r="E16" s="37" t="s">
        <v>28</v>
      </c>
      <c r="F16" s="37"/>
      <c r="G16" s="37"/>
    </row>
    <row r="17" spans="1:7" ht="17.25" customHeight="1" x14ac:dyDescent="0.25">
      <c r="A17" s="2">
        <v>12</v>
      </c>
      <c r="B17" s="37" t="s">
        <v>29</v>
      </c>
      <c r="C17" s="37"/>
      <c r="D17" s="3" t="s">
        <v>30</v>
      </c>
      <c r="E17" s="37" t="s">
        <v>31</v>
      </c>
      <c r="F17" s="37"/>
      <c r="G17" s="37"/>
    </row>
    <row r="19" spans="1:7" ht="21.95" customHeight="1" x14ac:dyDescent="0.25">
      <c r="A19" s="38" t="s">
        <v>32</v>
      </c>
      <c r="B19" s="39"/>
      <c r="C19" s="39"/>
      <c r="D19" s="39"/>
      <c r="E19" s="39"/>
      <c r="F19" s="39"/>
      <c r="G19" s="39"/>
    </row>
    <row r="20" spans="1:7" x14ac:dyDescent="0.25">
      <c r="A20" s="40" t="s">
        <v>33</v>
      </c>
      <c r="B20" s="39"/>
      <c r="C20" s="39"/>
      <c r="D20" s="39"/>
      <c r="E20" s="39"/>
      <c r="F20" s="39"/>
      <c r="G20" s="39"/>
    </row>
    <row r="21" spans="1:7" ht="30" customHeight="1" x14ac:dyDescent="0.25">
      <c r="A21" s="1" t="s">
        <v>3</v>
      </c>
      <c r="B21" s="1" t="s">
        <v>34</v>
      </c>
      <c r="C21" s="1" t="s">
        <v>35</v>
      </c>
      <c r="D21" s="1" t="s">
        <v>36</v>
      </c>
      <c r="E21" s="1" t="s">
        <v>37</v>
      </c>
      <c r="F21" s="1" t="s">
        <v>38</v>
      </c>
      <c r="G21" s="1" t="s">
        <v>39</v>
      </c>
    </row>
    <row r="22" spans="1:7" ht="56.85" customHeight="1" x14ac:dyDescent="0.25">
      <c r="A22" s="2">
        <v>1</v>
      </c>
      <c r="B22" s="2" t="s">
        <v>40</v>
      </c>
      <c r="C22" s="3" t="s">
        <v>41</v>
      </c>
      <c r="D22" s="2" t="s">
        <v>42</v>
      </c>
      <c r="E22" s="2" t="s">
        <v>43</v>
      </c>
      <c r="F22" s="2" t="s">
        <v>44</v>
      </c>
      <c r="G22" s="6" t="s">
        <v>45</v>
      </c>
    </row>
    <row r="23" spans="1:7" ht="69.95" customHeight="1" x14ac:dyDescent="0.25">
      <c r="A23" s="2">
        <v>2</v>
      </c>
      <c r="B23" s="2" t="s">
        <v>46</v>
      </c>
      <c r="C23" s="3" t="s">
        <v>47</v>
      </c>
      <c r="D23" s="2" t="s">
        <v>48</v>
      </c>
      <c r="E23" s="2" t="s">
        <v>49</v>
      </c>
      <c r="F23" s="2" t="s">
        <v>50</v>
      </c>
      <c r="G23" s="6" t="s">
        <v>45</v>
      </c>
    </row>
    <row r="24" spans="1:7" ht="56.85" customHeight="1" x14ac:dyDescent="0.25">
      <c r="A24" s="2">
        <v>3</v>
      </c>
      <c r="B24" s="2" t="s">
        <v>46</v>
      </c>
      <c r="C24" s="3" t="s">
        <v>51</v>
      </c>
      <c r="D24" s="2" t="s">
        <v>52</v>
      </c>
      <c r="E24" s="2" t="s">
        <v>53</v>
      </c>
      <c r="F24" s="2" t="s">
        <v>54</v>
      </c>
      <c r="G24" s="6" t="s">
        <v>45</v>
      </c>
    </row>
    <row r="25" spans="1:7" ht="56.85" customHeight="1" x14ac:dyDescent="0.25">
      <c r="A25" s="2">
        <v>4</v>
      </c>
      <c r="B25" s="2" t="s">
        <v>46</v>
      </c>
      <c r="C25" s="3" t="s">
        <v>55</v>
      </c>
      <c r="D25" s="2" t="s">
        <v>56</v>
      </c>
      <c r="E25" s="2" t="s">
        <v>57</v>
      </c>
      <c r="F25" s="2" t="s">
        <v>58</v>
      </c>
      <c r="G25" s="6" t="s">
        <v>45</v>
      </c>
    </row>
    <row r="26" spans="1:7" ht="43.5" customHeight="1" x14ac:dyDescent="0.25">
      <c r="A26" s="2">
        <v>5</v>
      </c>
      <c r="B26" s="2" t="s">
        <v>59</v>
      </c>
      <c r="C26" s="3" t="s">
        <v>60</v>
      </c>
      <c r="D26" s="2" t="s">
        <v>61</v>
      </c>
      <c r="E26" s="2" t="s">
        <v>62</v>
      </c>
      <c r="F26" s="2" t="s">
        <v>63</v>
      </c>
      <c r="G26" s="6" t="s">
        <v>45</v>
      </c>
    </row>
    <row r="27" spans="1:7" ht="69.95" customHeight="1" x14ac:dyDescent="0.25">
      <c r="A27" s="2">
        <v>6</v>
      </c>
      <c r="B27" s="2" t="s">
        <v>64</v>
      </c>
      <c r="C27" s="3" t="s">
        <v>65</v>
      </c>
      <c r="D27" s="2" t="s">
        <v>66</v>
      </c>
      <c r="E27" s="2" t="s">
        <v>67</v>
      </c>
      <c r="F27" s="2" t="s">
        <v>68</v>
      </c>
      <c r="G27" s="6" t="s">
        <v>45</v>
      </c>
    </row>
    <row r="28" spans="1:7" ht="56.85" customHeight="1" x14ac:dyDescent="0.25">
      <c r="A28" s="2">
        <v>7</v>
      </c>
      <c r="B28" s="2" t="s">
        <v>64</v>
      </c>
      <c r="C28" s="3" t="s">
        <v>69</v>
      </c>
      <c r="D28" s="2" t="s">
        <v>70</v>
      </c>
      <c r="E28" s="2" t="s">
        <v>71</v>
      </c>
      <c r="F28" s="2" t="s">
        <v>72</v>
      </c>
      <c r="G28" s="6" t="s">
        <v>45</v>
      </c>
    </row>
    <row r="29" spans="1:7" ht="56.85" customHeight="1" x14ac:dyDescent="0.25">
      <c r="A29" s="2">
        <v>8</v>
      </c>
      <c r="B29" s="2" t="s">
        <v>64</v>
      </c>
      <c r="C29" s="3" t="s">
        <v>73</v>
      </c>
      <c r="D29" s="2" t="s">
        <v>74</v>
      </c>
      <c r="E29" s="2" t="s">
        <v>75</v>
      </c>
      <c r="F29" s="2" t="s">
        <v>76</v>
      </c>
      <c r="G29" s="7" t="s">
        <v>77</v>
      </c>
    </row>
    <row r="30" spans="1:7" ht="43.5" customHeight="1" x14ac:dyDescent="0.25">
      <c r="A30" s="2">
        <v>9</v>
      </c>
      <c r="B30" s="2" t="s">
        <v>78</v>
      </c>
      <c r="C30" s="3" t="s">
        <v>79</v>
      </c>
      <c r="D30" s="2" t="s">
        <v>80</v>
      </c>
      <c r="E30" s="2" t="s">
        <v>81</v>
      </c>
      <c r="F30" s="2" t="s">
        <v>82</v>
      </c>
      <c r="G30" s="6" t="s">
        <v>45</v>
      </c>
    </row>
    <row r="31" spans="1:7" ht="56.85" customHeight="1" x14ac:dyDescent="0.25">
      <c r="A31" s="2">
        <v>10</v>
      </c>
      <c r="B31" s="2" t="s">
        <v>78</v>
      </c>
      <c r="C31" s="3" t="s">
        <v>83</v>
      </c>
      <c r="D31" s="2" t="s">
        <v>84</v>
      </c>
      <c r="E31" s="2" t="s">
        <v>85</v>
      </c>
      <c r="F31" s="2" t="s">
        <v>86</v>
      </c>
      <c r="G31" s="7" t="s">
        <v>77</v>
      </c>
    </row>
    <row r="32" spans="1:7" ht="69.95" customHeight="1" x14ac:dyDescent="0.25">
      <c r="A32" s="2">
        <v>11</v>
      </c>
      <c r="B32" s="2" t="s">
        <v>87</v>
      </c>
      <c r="C32" s="3" t="s">
        <v>88</v>
      </c>
      <c r="D32" s="2" t="s">
        <v>89</v>
      </c>
      <c r="E32" s="2" t="s">
        <v>90</v>
      </c>
      <c r="F32" s="2" t="s">
        <v>91</v>
      </c>
      <c r="G32" s="6" t="s">
        <v>45</v>
      </c>
    </row>
    <row r="33" spans="1:7" ht="56.85" customHeight="1" x14ac:dyDescent="0.25">
      <c r="A33" s="2">
        <v>12</v>
      </c>
      <c r="B33" s="2" t="s">
        <v>92</v>
      </c>
      <c r="C33" s="3" t="s">
        <v>93</v>
      </c>
      <c r="D33" s="2" t="s">
        <v>94</v>
      </c>
      <c r="E33" s="2" t="s">
        <v>95</v>
      </c>
      <c r="F33" s="2" t="s">
        <v>96</v>
      </c>
      <c r="G33" s="7" t="s">
        <v>77</v>
      </c>
    </row>
    <row r="34" spans="1:7" ht="56.85" customHeight="1" x14ac:dyDescent="0.25">
      <c r="A34" s="2">
        <v>13</v>
      </c>
      <c r="B34" s="2" t="s">
        <v>97</v>
      </c>
      <c r="C34" s="3" t="s">
        <v>98</v>
      </c>
      <c r="D34" s="2" t="s">
        <v>99</v>
      </c>
      <c r="E34" s="2" t="s">
        <v>100</v>
      </c>
      <c r="F34" s="2" t="s">
        <v>101</v>
      </c>
      <c r="G34" s="6" t="s">
        <v>45</v>
      </c>
    </row>
    <row r="35" spans="1:7" ht="56.85" customHeight="1" x14ac:dyDescent="0.25">
      <c r="A35" s="2">
        <v>14</v>
      </c>
      <c r="B35" s="2" t="s">
        <v>102</v>
      </c>
      <c r="C35" s="3" t="s">
        <v>103</v>
      </c>
      <c r="D35" s="2" t="s">
        <v>104</v>
      </c>
      <c r="E35" s="2" t="s">
        <v>105</v>
      </c>
      <c r="F35" s="2" t="s">
        <v>106</v>
      </c>
      <c r="G35" s="8" t="s">
        <v>107</v>
      </c>
    </row>
    <row r="36" spans="1:7" ht="43.5" customHeight="1" x14ac:dyDescent="0.25">
      <c r="A36" s="2">
        <v>15</v>
      </c>
      <c r="B36" s="2" t="s">
        <v>108</v>
      </c>
      <c r="C36" s="3" t="s">
        <v>109</v>
      </c>
      <c r="D36" s="2" t="s">
        <v>110</v>
      </c>
      <c r="E36" s="2" t="s">
        <v>111</v>
      </c>
      <c r="F36" s="2" t="s">
        <v>112</v>
      </c>
      <c r="G36" s="7" t="s">
        <v>77</v>
      </c>
    </row>
    <row r="37" spans="1:7" ht="56.85" customHeight="1" x14ac:dyDescent="0.25">
      <c r="A37" s="2">
        <v>16</v>
      </c>
      <c r="B37" s="2" t="s">
        <v>113</v>
      </c>
      <c r="C37" s="3" t="s">
        <v>114</v>
      </c>
      <c r="D37" s="2" t="s">
        <v>115</v>
      </c>
      <c r="E37" s="2" t="s">
        <v>116</v>
      </c>
      <c r="F37" s="2" t="s">
        <v>117</v>
      </c>
      <c r="G37" s="6" t="s">
        <v>45</v>
      </c>
    </row>
    <row r="38" spans="1:7" ht="43.5" customHeight="1" x14ac:dyDescent="0.25">
      <c r="A38" s="2">
        <v>17</v>
      </c>
      <c r="B38" s="2" t="s">
        <v>118</v>
      </c>
      <c r="C38" s="3" t="s">
        <v>119</v>
      </c>
      <c r="D38" s="2" t="s">
        <v>120</v>
      </c>
      <c r="E38" s="2" t="s">
        <v>121</v>
      </c>
      <c r="F38" s="2" t="s">
        <v>122</v>
      </c>
      <c r="G38" s="7" t="s">
        <v>77</v>
      </c>
    </row>
    <row r="39" spans="1:7" ht="56.85" customHeight="1" x14ac:dyDescent="0.25">
      <c r="A39" s="2">
        <v>18</v>
      </c>
      <c r="B39" s="2" t="s">
        <v>123</v>
      </c>
      <c r="C39" s="3" t="s">
        <v>124</v>
      </c>
      <c r="D39" s="2" t="s">
        <v>125</v>
      </c>
      <c r="E39" s="2" t="s">
        <v>126</v>
      </c>
      <c r="F39" s="2" t="s">
        <v>127</v>
      </c>
      <c r="G39" s="7" t="s">
        <v>77</v>
      </c>
    </row>
    <row r="40" spans="1:7" ht="43.5" customHeight="1" x14ac:dyDescent="0.25">
      <c r="A40" s="2">
        <v>19</v>
      </c>
      <c r="B40" s="2" t="s">
        <v>128</v>
      </c>
      <c r="C40" s="3" t="s">
        <v>129</v>
      </c>
      <c r="D40" s="2" t="s">
        <v>130</v>
      </c>
      <c r="E40" s="2" t="s">
        <v>131</v>
      </c>
      <c r="F40" s="2" t="s">
        <v>132</v>
      </c>
      <c r="G40" s="7" t="s">
        <v>77</v>
      </c>
    </row>
    <row r="41" spans="1:7" ht="69.95" customHeight="1" x14ac:dyDescent="0.25">
      <c r="A41" s="2">
        <v>20</v>
      </c>
      <c r="B41" s="2" t="s">
        <v>133</v>
      </c>
      <c r="C41" s="3" t="s">
        <v>134</v>
      </c>
      <c r="D41" s="2" t="s">
        <v>135</v>
      </c>
      <c r="E41" s="2" t="s">
        <v>136</v>
      </c>
      <c r="F41" s="2" t="s">
        <v>137</v>
      </c>
      <c r="G41" s="6" t="s">
        <v>45</v>
      </c>
    </row>
    <row r="42" spans="1:7" ht="56.85" customHeight="1" x14ac:dyDescent="0.25">
      <c r="A42" s="2">
        <v>21</v>
      </c>
      <c r="B42" s="2" t="s">
        <v>138</v>
      </c>
      <c r="C42" s="3" t="s">
        <v>139</v>
      </c>
      <c r="D42" s="2" t="s">
        <v>140</v>
      </c>
      <c r="E42" s="2" t="s">
        <v>141</v>
      </c>
      <c r="F42" s="2" t="s">
        <v>142</v>
      </c>
      <c r="G42" s="6" t="s">
        <v>45</v>
      </c>
    </row>
    <row r="43" spans="1:7" ht="56.85" customHeight="1" x14ac:dyDescent="0.25">
      <c r="A43" s="2">
        <v>22</v>
      </c>
      <c r="B43" s="2" t="s">
        <v>143</v>
      </c>
      <c r="C43" s="3" t="s">
        <v>144</v>
      </c>
      <c r="D43" s="2" t="s">
        <v>145</v>
      </c>
      <c r="E43" s="2" t="s">
        <v>146</v>
      </c>
      <c r="F43" s="2" t="s">
        <v>147</v>
      </c>
      <c r="G43" s="6" t="s">
        <v>45</v>
      </c>
    </row>
    <row r="45" spans="1:7" ht="21.95" customHeight="1" x14ac:dyDescent="0.25">
      <c r="A45" s="38" t="s">
        <v>148</v>
      </c>
      <c r="B45" s="39"/>
      <c r="C45" s="39"/>
      <c r="D45" s="39"/>
      <c r="E45" s="39"/>
      <c r="F45" s="39"/>
      <c r="G45" s="39"/>
    </row>
    <row r="46" spans="1:7" ht="26.1" customHeight="1" x14ac:dyDescent="0.25">
      <c r="A46" s="41" t="s">
        <v>149</v>
      </c>
      <c r="B46" s="39"/>
      <c r="C46" s="39"/>
      <c r="D46" s="39"/>
      <c r="E46" s="39"/>
      <c r="F46" s="39"/>
      <c r="G46" s="39"/>
    </row>
    <row r="47" spans="1:7" ht="30" customHeight="1" x14ac:dyDescent="0.25">
      <c r="A47" s="1" t="s">
        <v>3</v>
      </c>
      <c r="B47" s="1" t="s">
        <v>150</v>
      </c>
      <c r="C47" s="1" t="s">
        <v>151</v>
      </c>
      <c r="D47" s="1" t="s">
        <v>152</v>
      </c>
      <c r="E47" s="1" t="s">
        <v>153</v>
      </c>
      <c r="F47" s="1" t="s">
        <v>154</v>
      </c>
      <c r="G47" s="1" t="s">
        <v>155</v>
      </c>
    </row>
    <row r="48" spans="1:7" ht="30.4" customHeight="1" x14ac:dyDescent="0.25">
      <c r="A48" s="2">
        <v>1</v>
      </c>
      <c r="B48" s="2" t="s">
        <v>156</v>
      </c>
      <c r="C48" s="3" t="s">
        <v>157</v>
      </c>
      <c r="D48" s="2" t="s">
        <v>158</v>
      </c>
      <c r="E48" s="2" t="s">
        <v>159</v>
      </c>
      <c r="F48" s="2" t="s">
        <v>160</v>
      </c>
      <c r="G48" s="9" t="s">
        <v>161</v>
      </c>
    </row>
    <row r="49" spans="1:7" ht="30.4" customHeight="1" x14ac:dyDescent="0.25">
      <c r="A49" s="2">
        <v>2</v>
      </c>
      <c r="B49" s="2" t="s">
        <v>162</v>
      </c>
      <c r="C49" s="3" t="s">
        <v>163</v>
      </c>
      <c r="D49" s="2" t="s">
        <v>164</v>
      </c>
      <c r="E49" s="2" t="s">
        <v>165</v>
      </c>
      <c r="F49" s="2" t="s">
        <v>72</v>
      </c>
      <c r="G49" s="9" t="s">
        <v>166</v>
      </c>
    </row>
    <row r="50" spans="1:7" ht="43.5" customHeight="1" x14ac:dyDescent="0.25">
      <c r="A50" s="2">
        <v>3</v>
      </c>
      <c r="B50" s="2" t="s">
        <v>167</v>
      </c>
      <c r="C50" s="3" t="s">
        <v>168</v>
      </c>
      <c r="D50" s="2" t="s">
        <v>169</v>
      </c>
      <c r="E50" s="2" t="s">
        <v>170</v>
      </c>
      <c r="F50" s="2" t="s">
        <v>171</v>
      </c>
      <c r="G50" s="9" t="s">
        <v>172</v>
      </c>
    </row>
    <row r="51" spans="1:7" ht="30.4" customHeight="1" x14ac:dyDescent="0.25">
      <c r="A51" s="2">
        <v>4</v>
      </c>
      <c r="B51" s="2" t="s">
        <v>173</v>
      </c>
      <c r="C51" s="3" t="s">
        <v>174</v>
      </c>
      <c r="D51" s="2" t="s">
        <v>175</v>
      </c>
      <c r="E51" s="2" t="s">
        <v>176</v>
      </c>
      <c r="F51" s="2" t="s">
        <v>177</v>
      </c>
      <c r="G51" s="9" t="s">
        <v>178</v>
      </c>
    </row>
    <row r="52" spans="1:7" ht="30.4" customHeight="1" x14ac:dyDescent="0.25">
      <c r="A52" s="2">
        <v>5</v>
      </c>
      <c r="B52" s="2" t="s">
        <v>179</v>
      </c>
      <c r="C52" s="3" t="s">
        <v>180</v>
      </c>
      <c r="D52" s="2" t="s">
        <v>181</v>
      </c>
      <c r="E52" s="2" t="s">
        <v>182</v>
      </c>
      <c r="F52" s="2" t="s">
        <v>183</v>
      </c>
      <c r="G52" s="9" t="s">
        <v>178</v>
      </c>
    </row>
    <row r="53" spans="1:7" ht="43.5" customHeight="1" x14ac:dyDescent="0.25">
      <c r="A53" s="2">
        <v>6</v>
      </c>
      <c r="B53" s="2" t="s">
        <v>184</v>
      </c>
      <c r="C53" s="3" t="s">
        <v>185</v>
      </c>
      <c r="D53" s="2" t="s">
        <v>186</v>
      </c>
      <c r="E53" s="2" t="s">
        <v>187</v>
      </c>
      <c r="F53" s="2" t="s">
        <v>188</v>
      </c>
      <c r="G53" s="9" t="s">
        <v>178</v>
      </c>
    </row>
    <row r="54" spans="1:7" ht="43.5" customHeight="1" x14ac:dyDescent="0.25">
      <c r="A54" s="2">
        <v>7</v>
      </c>
      <c r="B54" s="2" t="s">
        <v>189</v>
      </c>
      <c r="C54" s="3" t="s">
        <v>190</v>
      </c>
      <c r="D54" s="2" t="s">
        <v>191</v>
      </c>
      <c r="E54" s="2" t="s">
        <v>192</v>
      </c>
      <c r="F54" s="2" t="s">
        <v>193</v>
      </c>
      <c r="G54" s="9" t="s">
        <v>194</v>
      </c>
    </row>
    <row r="55" spans="1:7" ht="43.5" customHeight="1" x14ac:dyDescent="0.25">
      <c r="A55" s="2">
        <v>8</v>
      </c>
      <c r="B55" s="2" t="s">
        <v>195</v>
      </c>
      <c r="C55" s="3" t="s">
        <v>196</v>
      </c>
      <c r="D55" s="2" t="s">
        <v>197</v>
      </c>
      <c r="E55" s="2" t="s">
        <v>198</v>
      </c>
      <c r="F55" s="2" t="s">
        <v>199</v>
      </c>
      <c r="G55" s="9" t="s">
        <v>200</v>
      </c>
    </row>
    <row r="57" spans="1:7" ht="21.95" customHeight="1" x14ac:dyDescent="0.25">
      <c r="A57" s="38" t="s">
        <v>201</v>
      </c>
      <c r="B57" s="39"/>
      <c r="C57" s="39"/>
      <c r="D57" s="39"/>
      <c r="E57" s="39"/>
      <c r="F57" s="39"/>
      <c r="G57" s="39"/>
    </row>
    <row r="58" spans="1:7" ht="26.1" customHeight="1" x14ac:dyDescent="0.25">
      <c r="A58" s="41" t="s">
        <v>202</v>
      </c>
      <c r="B58" s="39"/>
      <c r="C58" s="39"/>
      <c r="D58" s="39"/>
      <c r="E58" s="39"/>
      <c r="F58" s="39"/>
      <c r="G58" s="39"/>
    </row>
    <row r="59" spans="1:7" ht="30" customHeight="1" x14ac:dyDescent="0.25">
      <c r="A59" s="1" t="s">
        <v>3</v>
      </c>
      <c r="B59" s="1" t="s">
        <v>150</v>
      </c>
      <c r="C59" s="1" t="s">
        <v>151</v>
      </c>
      <c r="D59" s="1" t="s">
        <v>152</v>
      </c>
      <c r="E59" s="1" t="s">
        <v>153</v>
      </c>
      <c r="F59" s="1" t="s">
        <v>154</v>
      </c>
      <c r="G59" s="1" t="s">
        <v>155</v>
      </c>
    </row>
    <row r="60" spans="1:7" ht="30.4" customHeight="1" x14ac:dyDescent="0.25">
      <c r="A60" s="2">
        <v>1</v>
      </c>
      <c r="B60" s="2" t="s">
        <v>156</v>
      </c>
      <c r="C60" s="3" t="s">
        <v>203</v>
      </c>
      <c r="D60" s="2" t="s">
        <v>204</v>
      </c>
      <c r="E60" s="2" t="s">
        <v>205</v>
      </c>
      <c r="F60" s="2" t="s">
        <v>206</v>
      </c>
      <c r="G60" s="9" t="s">
        <v>161</v>
      </c>
    </row>
    <row r="61" spans="1:7" ht="43.5" customHeight="1" x14ac:dyDescent="0.25">
      <c r="A61" s="2">
        <v>2</v>
      </c>
      <c r="B61" s="2" t="s">
        <v>207</v>
      </c>
      <c r="C61" s="3" t="s">
        <v>208</v>
      </c>
      <c r="D61" s="2" t="s">
        <v>209</v>
      </c>
      <c r="E61" s="2" t="s">
        <v>210</v>
      </c>
      <c r="F61" s="2" t="s">
        <v>211</v>
      </c>
      <c r="G61" s="9" t="s">
        <v>212</v>
      </c>
    </row>
    <row r="62" spans="1:7" ht="30.4" customHeight="1" x14ac:dyDescent="0.25">
      <c r="A62" s="2">
        <v>3</v>
      </c>
      <c r="B62" s="2" t="s">
        <v>213</v>
      </c>
      <c r="C62" s="3" t="s">
        <v>214</v>
      </c>
      <c r="D62" s="2" t="s">
        <v>215</v>
      </c>
      <c r="E62" s="2" t="s">
        <v>216</v>
      </c>
      <c r="F62" s="2" t="s">
        <v>217</v>
      </c>
      <c r="G62" s="9" t="s">
        <v>218</v>
      </c>
    </row>
    <row r="63" spans="1:7" ht="30.4" customHeight="1" x14ac:dyDescent="0.25">
      <c r="A63" s="2">
        <v>4</v>
      </c>
      <c r="B63" s="2" t="s">
        <v>219</v>
      </c>
      <c r="C63" s="3" t="s">
        <v>196</v>
      </c>
      <c r="D63" s="2" t="s">
        <v>220</v>
      </c>
      <c r="E63" s="2" t="s">
        <v>221</v>
      </c>
      <c r="F63" s="2" t="s">
        <v>222</v>
      </c>
      <c r="G63" s="9" t="s">
        <v>161</v>
      </c>
    </row>
    <row r="65" spans="1:7" ht="21.95" customHeight="1" x14ac:dyDescent="0.25">
      <c r="A65" s="38" t="s">
        <v>223</v>
      </c>
      <c r="B65" s="39"/>
      <c r="C65" s="39"/>
      <c r="D65" s="39"/>
      <c r="E65" s="39"/>
      <c r="F65" s="39"/>
      <c r="G65" s="39"/>
    </row>
    <row r="66" spans="1:7" ht="26.1" customHeight="1" x14ac:dyDescent="0.25">
      <c r="A66" s="41" t="s">
        <v>224</v>
      </c>
      <c r="B66" s="39"/>
      <c r="C66" s="39"/>
      <c r="D66" s="39"/>
      <c r="E66" s="39"/>
      <c r="F66" s="39"/>
      <c r="G66" s="39"/>
    </row>
    <row r="67" spans="1:7" ht="30" customHeight="1" x14ac:dyDescent="0.25">
      <c r="A67" s="1" t="s">
        <v>3</v>
      </c>
      <c r="B67" s="1" t="s">
        <v>150</v>
      </c>
      <c r="C67" s="1" t="s">
        <v>151</v>
      </c>
      <c r="D67" s="1" t="s">
        <v>152</v>
      </c>
      <c r="E67" s="1" t="s">
        <v>153</v>
      </c>
      <c r="F67" s="1" t="s">
        <v>154</v>
      </c>
      <c r="G67" s="1" t="s">
        <v>155</v>
      </c>
    </row>
    <row r="68" spans="1:7" ht="30.4" customHeight="1" x14ac:dyDescent="0.25">
      <c r="A68" s="2">
        <v>1</v>
      </c>
      <c r="B68" s="2" t="s">
        <v>225</v>
      </c>
      <c r="C68" s="3" t="s">
        <v>226</v>
      </c>
      <c r="D68" s="2" t="s">
        <v>227</v>
      </c>
      <c r="E68" s="2" t="s">
        <v>228</v>
      </c>
      <c r="F68" s="2" t="s">
        <v>229</v>
      </c>
      <c r="G68" s="9" t="s">
        <v>230</v>
      </c>
    </row>
    <row r="69" spans="1:7" ht="43.5" customHeight="1" x14ac:dyDescent="0.25">
      <c r="A69" s="2">
        <v>2</v>
      </c>
      <c r="B69" s="2" t="s">
        <v>231</v>
      </c>
      <c r="C69" s="3" t="s">
        <v>232</v>
      </c>
      <c r="D69" s="2" t="s">
        <v>233</v>
      </c>
      <c r="E69" s="2" t="s">
        <v>234</v>
      </c>
      <c r="F69" s="2" t="s">
        <v>235</v>
      </c>
      <c r="G69" s="9" t="s">
        <v>236</v>
      </c>
    </row>
    <row r="70" spans="1:7" ht="30.4" customHeight="1" x14ac:dyDescent="0.25">
      <c r="A70" s="2">
        <v>3</v>
      </c>
      <c r="B70" s="2" t="s">
        <v>237</v>
      </c>
      <c r="C70" s="3" t="s">
        <v>238</v>
      </c>
      <c r="D70" s="2" t="s">
        <v>239</v>
      </c>
      <c r="E70" s="2" t="s">
        <v>240</v>
      </c>
      <c r="F70" s="2" t="s">
        <v>241</v>
      </c>
      <c r="G70" s="9" t="s">
        <v>242</v>
      </c>
    </row>
    <row r="71" spans="1:7" ht="30.4" customHeight="1" x14ac:dyDescent="0.25">
      <c r="A71" s="2">
        <v>4</v>
      </c>
      <c r="B71" s="2" t="s">
        <v>243</v>
      </c>
      <c r="C71" s="3" t="s">
        <v>190</v>
      </c>
      <c r="D71" s="2" t="s">
        <v>244</v>
      </c>
      <c r="E71" s="2" t="s">
        <v>245</v>
      </c>
      <c r="F71" s="2" t="s">
        <v>246</v>
      </c>
      <c r="G71" s="9" t="s">
        <v>172</v>
      </c>
    </row>
    <row r="72" spans="1:7" ht="30.4" customHeight="1" x14ac:dyDescent="0.25">
      <c r="A72" s="2">
        <v>5</v>
      </c>
      <c r="B72" s="2" t="s">
        <v>247</v>
      </c>
      <c r="C72" s="3" t="s">
        <v>248</v>
      </c>
      <c r="D72" s="2" t="s">
        <v>249</v>
      </c>
      <c r="E72" s="2" t="s">
        <v>250</v>
      </c>
      <c r="F72" s="2" t="s">
        <v>251</v>
      </c>
      <c r="G72" s="9" t="s">
        <v>200</v>
      </c>
    </row>
    <row r="74" spans="1:7" ht="21.95" customHeight="1" x14ac:dyDescent="0.25">
      <c r="A74" s="38" t="s">
        <v>252</v>
      </c>
      <c r="B74" s="39"/>
      <c r="C74" s="39"/>
      <c r="D74" s="39"/>
      <c r="E74" s="39"/>
      <c r="F74" s="39"/>
      <c r="G74" s="39"/>
    </row>
    <row r="75" spans="1:7" ht="30" customHeight="1" x14ac:dyDescent="0.25">
      <c r="A75" s="1" t="s">
        <v>3</v>
      </c>
      <c r="B75" s="1" t="s">
        <v>253</v>
      </c>
      <c r="C75" s="1" t="s">
        <v>254</v>
      </c>
      <c r="D75" s="1" t="s">
        <v>255</v>
      </c>
      <c r="E75" s="1" t="s">
        <v>256</v>
      </c>
      <c r="F75" s="1" t="s">
        <v>257</v>
      </c>
      <c r="G75" s="1" t="s">
        <v>258</v>
      </c>
    </row>
    <row r="76" spans="1:7" ht="43.5" customHeight="1" x14ac:dyDescent="0.25">
      <c r="A76" s="2">
        <v>1</v>
      </c>
      <c r="B76" s="9" t="s">
        <v>259</v>
      </c>
      <c r="C76" s="3" t="s">
        <v>260</v>
      </c>
      <c r="D76" s="2" t="s">
        <v>261</v>
      </c>
      <c r="E76" s="2" t="s">
        <v>262</v>
      </c>
      <c r="F76" s="2" t="s">
        <v>263</v>
      </c>
      <c r="G76" s="9" t="s">
        <v>264</v>
      </c>
    </row>
    <row r="77" spans="1:7" ht="30.4" customHeight="1" x14ac:dyDescent="0.25">
      <c r="A77" s="2">
        <v>2</v>
      </c>
      <c r="B77" s="9" t="s">
        <v>259</v>
      </c>
      <c r="C77" s="3" t="s">
        <v>265</v>
      </c>
      <c r="D77" s="2" t="s">
        <v>266</v>
      </c>
      <c r="E77" s="2" t="s">
        <v>267</v>
      </c>
      <c r="F77" s="2" t="s">
        <v>268</v>
      </c>
      <c r="G77" s="9" t="s">
        <v>269</v>
      </c>
    </row>
    <row r="78" spans="1:7" ht="30.4" customHeight="1" x14ac:dyDescent="0.25">
      <c r="A78" s="2">
        <v>3</v>
      </c>
      <c r="B78" s="9" t="s">
        <v>259</v>
      </c>
      <c r="C78" s="3" t="s">
        <v>270</v>
      </c>
      <c r="D78" s="2" t="s">
        <v>271</v>
      </c>
      <c r="E78" s="2" t="s">
        <v>272</v>
      </c>
      <c r="F78" s="2" t="s">
        <v>273</v>
      </c>
      <c r="G78" s="9" t="s">
        <v>269</v>
      </c>
    </row>
    <row r="79" spans="1:7" ht="30.4" customHeight="1" x14ac:dyDescent="0.25">
      <c r="A79" s="2">
        <v>4</v>
      </c>
      <c r="B79" s="9" t="s">
        <v>259</v>
      </c>
      <c r="C79" s="3" t="s">
        <v>274</v>
      </c>
      <c r="D79" s="2" t="s">
        <v>275</v>
      </c>
      <c r="E79" s="2" t="s">
        <v>276</v>
      </c>
      <c r="F79" s="2" t="s">
        <v>277</v>
      </c>
      <c r="G79" s="9" t="s">
        <v>269</v>
      </c>
    </row>
    <row r="80" spans="1:7" ht="30.4" customHeight="1" x14ac:dyDescent="0.25">
      <c r="A80" s="2">
        <v>5</v>
      </c>
      <c r="B80" s="9" t="s">
        <v>278</v>
      </c>
      <c r="C80" s="3" t="s">
        <v>279</v>
      </c>
      <c r="D80" s="2" t="s">
        <v>280</v>
      </c>
      <c r="E80" s="2" t="s">
        <v>281</v>
      </c>
      <c r="F80" s="2" t="s">
        <v>282</v>
      </c>
      <c r="G80" s="9" t="s">
        <v>269</v>
      </c>
    </row>
    <row r="81" spans="1:7" ht="43.5" customHeight="1" x14ac:dyDescent="0.25">
      <c r="A81" s="2">
        <v>6</v>
      </c>
      <c r="B81" s="9" t="s">
        <v>278</v>
      </c>
      <c r="C81" s="3" t="s">
        <v>283</v>
      </c>
      <c r="D81" s="2" t="s">
        <v>284</v>
      </c>
      <c r="E81" s="2" t="s">
        <v>285</v>
      </c>
      <c r="F81" s="2" t="s">
        <v>286</v>
      </c>
      <c r="G81" s="9" t="s">
        <v>287</v>
      </c>
    </row>
    <row r="82" spans="1:7" ht="30.4" customHeight="1" x14ac:dyDescent="0.25">
      <c r="A82" s="2">
        <v>7</v>
      </c>
      <c r="B82" s="9" t="s">
        <v>278</v>
      </c>
      <c r="C82" s="3" t="s">
        <v>288</v>
      </c>
      <c r="D82" s="2" t="s">
        <v>289</v>
      </c>
      <c r="E82" s="2" t="s">
        <v>290</v>
      </c>
      <c r="F82" s="2" t="s">
        <v>291</v>
      </c>
      <c r="G82" s="9" t="s">
        <v>269</v>
      </c>
    </row>
    <row r="83" spans="1:7" ht="43.5" customHeight="1" x14ac:dyDescent="0.25">
      <c r="A83" s="2">
        <v>8</v>
      </c>
      <c r="B83" s="9" t="s">
        <v>278</v>
      </c>
      <c r="C83" s="3" t="s">
        <v>292</v>
      </c>
      <c r="D83" s="2" t="s">
        <v>293</v>
      </c>
      <c r="E83" s="2" t="s">
        <v>294</v>
      </c>
      <c r="F83" s="2" t="s">
        <v>295</v>
      </c>
      <c r="G83" s="9" t="s">
        <v>264</v>
      </c>
    </row>
    <row r="84" spans="1:7" ht="30.4" customHeight="1" x14ac:dyDescent="0.25">
      <c r="A84" s="2">
        <v>9</v>
      </c>
      <c r="B84" s="9" t="s">
        <v>278</v>
      </c>
      <c r="C84" s="3" t="s">
        <v>296</v>
      </c>
      <c r="D84" s="2" t="s">
        <v>297</v>
      </c>
      <c r="E84" s="2" t="s">
        <v>298</v>
      </c>
      <c r="F84" s="2" t="s">
        <v>299</v>
      </c>
      <c r="G84" s="9" t="s">
        <v>264</v>
      </c>
    </row>
    <row r="85" spans="1:7" ht="30.4" customHeight="1" x14ac:dyDescent="0.25">
      <c r="A85" s="2">
        <v>10</v>
      </c>
      <c r="B85" s="9" t="s">
        <v>278</v>
      </c>
      <c r="C85" s="3" t="s">
        <v>300</v>
      </c>
      <c r="D85" s="2" t="s">
        <v>301</v>
      </c>
      <c r="E85" s="2" t="s">
        <v>302</v>
      </c>
      <c r="F85" s="2" t="s">
        <v>303</v>
      </c>
      <c r="G85" s="9" t="s">
        <v>264</v>
      </c>
    </row>
    <row r="86" spans="1:7" ht="30.4" customHeight="1" x14ac:dyDescent="0.25">
      <c r="A86" s="2">
        <v>11</v>
      </c>
      <c r="B86" s="9" t="s">
        <v>278</v>
      </c>
      <c r="C86" s="3" t="s">
        <v>304</v>
      </c>
      <c r="D86" s="2" t="s">
        <v>305</v>
      </c>
      <c r="E86" s="2" t="s">
        <v>306</v>
      </c>
      <c r="F86" s="2" t="s">
        <v>307</v>
      </c>
      <c r="G86" s="9" t="s">
        <v>269</v>
      </c>
    </row>
    <row r="87" spans="1:7" ht="30.4" customHeight="1" x14ac:dyDescent="0.25">
      <c r="A87" s="2">
        <v>12</v>
      </c>
      <c r="B87" s="9" t="s">
        <v>278</v>
      </c>
      <c r="C87" s="3" t="s">
        <v>308</v>
      </c>
      <c r="D87" s="2" t="s">
        <v>309</v>
      </c>
      <c r="E87" s="2" t="s">
        <v>310</v>
      </c>
      <c r="F87" s="2" t="s">
        <v>311</v>
      </c>
      <c r="G87" s="9" t="s">
        <v>264</v>
      </c>
    </row>
    <row r="88" spans="1:7" ht="30.4" customHeight="1" x14ac:dyDescent="0.25">
      <c r="A88" s="2">
        <v>13</v>
      </c>
      <c r="B88" s="9" t="s">
        <v>278</v>
      </c>
      <c r="C88" s="3" t="s">
        <v>312</v>
      </c>
      <c r="D88" s="2" t="s">
        <v>313</v>
      </c>
      <c r="E88" s="2" t="s">
        <v>314</v>
      </c>
      <c r="F88" s="2" t="s">
        <v>315</v>
      </c>
      <c r="G88" s="9" t="s">
        <v>264</v>
      </c>
    </row>
    <row r="89" spans="1:7" ht="30.4" customHeight="1" x14ac:dyDescent="0.25">
      <c r="A89" s="2">
        <v>14</v>
      </c>
      <c r="B89" s="9" t="s">
        <v>316</v>
      </c>
      <c r="C89" s="3" t="s">
        <v>317</v>
      </c>
      <c r="D89" s="2" t="s">
        <v>318</v>
      </c>
      <c r="E89" s="2" t="s">
        <v>319</v>
      </c>
      <c r="F89" s="2" t="s">
        <v>320</v>
      </c>
      <c r="G89" s="9" t="s">
        <v>269</v>
      </c>
    </row>
    <row r="91" spans="1:7" ht="21.95" customHeight="1" x14ac:dyDescent="0.25">
      <c r="A91" s="38" t="s">
        <v>321</v>
      </c>
      <c r="B91" s="39"/>
      <c r="C91" s="39"/>
      <c r="D91" s="39"/>
      <c r="E91" s="39"/>
      <c r="F91" s="39"/>
      <c r="G91" s="39"/>
    </row>
    <row r="92" spans="1:7" ht="26.1" customHeight="1" x14ac:dyDescent="0.25">
      <c r="A92" s="41" t="s">
        <v>322</v>
      </c>
      <c r="B92" s="39"/>
      <c r="C92" s="39"/>
      <c r="D92" s="39"/>
      <c r="E92" s="39"/>
      <c r="F92" s="39"/>
      <c r="G92" s="39"/>
    </row>
    <row r="93" spans="1:7" ht="30" customHeight="1" x14ac:dyDescent="0.25">
      <c r="A93" s="1" t="s">
        <v>3</v>
      </c>
      <c r="B93" s="1" t="s">
        <v>34</v>
      </c>
      <c r="C93" s="44" t="s">
        <v>323</v>
      </c>
      <c r="D93" s="44"/>
      <c r="E93" s="44"/>
      <c r="F93" s="44"/>
      <c r="G93" s="1" t="s">
        <v>324</v>
      </c>
    </row>
    <row r="94" spans="1:7" ht="17.25" customHeight="1" x14ac:dyDescent="0.25">
      <c r="A94" s="2">
        <v>1</v>
      </c>
      <c r="B94" s="2" t="s">
        <v>325</v>
      </c>
      <c r="C94" s="37" t="s">
        <v>326</v>
      </c>
      <c r="D94" s="37"/>
      <c r="E94" s="37"/>
      <c r="F94" s="37"/>
      <c r="G94" s="10"/>
    </row>
    <row r="95" spans="1:7" ht="17.25" customHeight="1" x14ac:dyDescent="0.25">
      <c r="A95" s="2">
        <v>2</v>
      </c>
      <c r="B95" s="2" t="s">
        <v>325</v>
      </c>
      <c r="C95" s="37" t="s">
        <v>327</v>
      </c>
      <c r="D95" s="37"/>
      <c r="E95" s="37"/>
      <c r="F95" s="37"/>
      <c r="G95" s="10"/>
    </row>
    <row r="96" spans="1:7" ht="17.25" customHeight="1" x14ac:dyDescent="0.25">
      <c r="A96" s="2">
        <v>3</v>
      </c>
      <c r="B96" s="2" t="s">
        <v>325</v>
      </c>
      <c r="C96" s="37" t="s">
        <v>328</v>
      </c>
      <c r="D96" s="37"/>
      <c r="E96" s="37"/>
      <c r="F96" s="37"/>
      <c r="G96" s="10"/>
    </row>
    <row r="97" spans="1:7" ht="17.25" customHeight="1" x14ac:dyDescent="0.25">
      <c r="A97" s="2">
        <v>4</v>
      </c>
      <c r="B97" s="2" t="s">
        <v>325</v>
      </c>
      <c r="C97" s="37" t="s">
        <v>329</v>
      </c>
      <c r="D97" s="37"/>
      <c r="E97" s="37"/>
      <c r="F97" s="37"/>
      <c r="G97" s="10"/>
    </row>
    <row r="98" spans="1:7" ht="17.25" customHeight="1" x14ac:dyDescent="0.25">
      <c r="A98" s="2">
        <v>5</v>
      </c>
      <c r="B98" s="2" t="s">
        <v>325</v>
      </c>
      <c r="C98" s="37" t="s">
        <v>330</v>
      </c>
      <c r="D98" s="37"/>
      <c r="E98" s="37"/>
      <c r="F98" s="37"/>
      <c r="G98" s="10"/>
    </row>
    <row r="99" spans="1:7" ht="17.25" customHeight="1" x14ac:dyDescent="0.25">
      <c r="A99" s="2">
        <v>6</v>
      </c>
      <c r="B99" s="2" t="s">
        <v>325</v>
      </c>
      <c r="C99" s="37" t="s">
        <v>331</v>
      </c>
      <c r="D99" s="37"/>
      <c r="E99" s="37"/>
      <c r="F99" s="37"/>
      <c r="G99" s="10"/>
    </row>
    <row r="100" spans="1:7" ht="17.25" customHeight="1" x14ac:dyDescent="0.25">
      <c r="A100" s="2">
        <v>7</v>
      </c>
      <c r="B100" s="2" t="s">
        <v>332</v>
      </c>
      <c r="C100" s="37" t="s">
        <v>333</v>
      </c>
      <c r="D100" s="37"/>
      <c r="E100" s="37"/>
      <c r="F100" s="37"/>
      <c r="G100" s="10"/>
    </row>
    <row r="101" spans="1:7" ht="17.25" customHeight="1" x14ac:dyDescent="0.25">
      <c r="A101" s="2">
        <v>8</v>
      </c>
      <c r="B101" s="2" t="s">
        <v>332</v>
      </c>
      <c r="C101" s="37" t="s">
        <v>334</v>
      </c>
      <c r="D101" s="37"/>
      <c r="E101" s="37"/>
      <c r="F101" s="37"/>
      <c r="G101" s="10"/>
    </row>
    <row r="102" spans="1:7" ht="17.25" customHeight="1" x14ac:dyDescent="0.25">
      <c r="A102" s="2">
        <v>9</v>
      </c>
      <c r="B102" s="2" t="s">
        <v>335</v>
      </c>
      <c r="C102" s="37" t="s">
        <v>336</v>
      </c>
      <c r="D102" s="37"/>
      <c r="E102" s="37"/>
      <c r="F102" s="37"/>
      <c r="G102" s="10"/>
    </row>
    <row r="103" spans="1:7" ht="17.25" customHeight="1" x14ac:dyDescent="0.25">
      <c r="A103" s="2">
        <v>10</v>
      </c>
      <c r="B103" s="2" t="s">
        <v>335</v>
      </c>
      <c r="C103" s="37" t="s">
        <v>337</v>
      </c>
      <c r="D103" s="37"/>
      <c r="E103" s="37"/>
      <c r="F103" s="37"/>
      <c r="G103" s="10"/>
    </row>
    <row r="104" spans="1:7" ht="17.25" customHeight="1" x14ac:dyDescent="0.25">
      <c r="A104" s="2">
        <v>11</v>
      </c>
      <c r="B104" s="2" t="s">
        <v>335</v>
      </c>
      <c r="C104" s="37" t="s">
        <v>338</v>
      </c>
      <c r="D104" s="37"/>
      <c r="E104" s="37"/>
      <c r="F104" s="37"/>
      <c r="G104" s="10"/>
    </row>
    <row r="105" spans="1:7" ht="17.25" customHeight="1" x14ac:dyDescent="0.25">
      <c r="A105" s="2">
        <v>12</v>
      </c>
      <c r="B105" s="2" t="s">
        <v>335</v>
      </c>
      <c r="C105" s="37" t="s">
        <v>339</v>
      </c>
      <c r="D105" s="37"/>
      <c r="E105" s="37"/>
      <c r="F105" s="37"/>
      <c r="G105" s="10"/>
    </row>
    <row r="106" spans="1:7" ht="17.25" customHeight="1" x14ac:dyDescent="0.25">
      <c r="A106" s="2">
        <v>13</v>
      </c>
      <c r="B106" s="2" t="s">
        <v>335</v>
      </c>
      <c r="C106" s="37" t="s">
        <v>340</v>
      </c>
      <c r="D106" s="37"/>
      <c r="E106" s="37"/>
      <c r="F106" s="37"/>
      <c r="G106" s="10"/>
    </row>
    <row r="107" spans="1:7" ht="17.25" customHeight="1" x14ac:dyDescent="0.25">
      <c r="A107" s="2">
        <v>14</v>
      </c>
      <c r="B107" s="2" t="s">
        <v>335</v>
      </c>
      <c r="C107" s="37" t="s">
        <v>341</v>
      </c>
      <c r="D107" s="37"/>
      <c r="E107" s="37"/>
      <c r="F107" s="37"/>
      <c r="G107" s="10"/>
    </row>
    <row r="108" spans="1:7" ht="17.25" customHeight="1" x14ac:dyDescent="0.25">
      <c r="A108" s="2">
        <v>15</v>
      </c>
      <c r="B108" s="2" t="s">
        <v>335</v>
      </c>
      <c r="C108" s="37" t="s">
        <v>342</v>
      </c>
      <c r="D108" s="37"/>
      <c r="E108" s="37"/>
      <c r="F108" s="37"/>
      <c r="G108" s="10"/>
    </row>
    <row r="109" spans="1:7" ht="17.25" customHeight="1" x14ac:dyDescent="0.25">
      <c r="A109" s="2">
        <v>16</v>
      </c>
      <c r="B109" s="2" t="s">
        <v>335</v>
      </c>
      <c r="C109" s="37" t="s">
        <v>343</v>
      </c>
      <c r="D109" s="37"/>
      <c r="E109" s="37"/>
      <c r="F109" s="37"/>
      <c r="G109" s="10"/>
    </row>
    <row r="110" spans="1:7" ht="17.25" customHeight="1" x14ac:dyDescent="0.25">
      <c r="A110" s="2">
        <v>17</v>
      </c>
      <c r="B110" s="2" t="s">
        <v>335</v>
      </c>
      <c r="C110" s="37" t="s">
        <v>344</v>
      </c>
      <c r="D110" s="37"/>
      <c r="E110" s="37"/>
      <c r="F110" s="37"/>
      <c r="G110" s="10"/>
    </row>
    <row r="111" spans="1:7" ht="17.25" customHeight="1" x14ac:dyDescent="0.25">
      <c r="A111" s="2">
        <v>18</v>
      </c>
      <c r="B111" s="2" t="s">
        <v>335</v>
      </c>
      <c r="C111" s="37" t="s">
        <v>345</v>
      </c>
      <c r="D111" s="37"/>
      <c r="E111" s="37"/>
      <c r="F111" s="37"/>
      <c r="G111" s="10"/>
    </row>
  </sheetData>
  <mergeCells count="59">
    <mergeCell ref="A2:G2"/>
    <mergeCell ref="C95:F95"/>
    <mergeCell ref="A57:G57"/>
    <mergeCell ref="A1:G1"/>
    <mergeCell ref="C97:F97"/>
    <mergeCell ref="B10:C10"/>
    <mergeCell ref="C100:F100"/>
    <mergeCell ref="E12:G12"/>
    <mergeCell ref="C94:F94"/>
    <mergeCell ref="A65:G65"/>
    <mergeCell ref="B9:C9"/>
    <mergeCell ref="C93:F93"/>
    <mergeCell ref="C99:F99"/>
    <mergeCell ref="A46:G46"/>
    <mergeCell ref="B6:C6"/>
    <mergeCell ref="A66:G66"/>
    <mergeCell ref="A74:G74"/>
    <mergeCell ref="B15:C15"/>
    <mergeCell ref="E14:G14"/>
    <mergeCell ref="C111:F111"/>
    <mergeCell ref="C102:F102"/>
    <mergeCell ref="A58:G58"/>
    <mergeCell ref="E11:G11"/>
    <mergeCell ref="B11:C11"/>
    <mergeCell ref="C96:F96"/>
    <mergeCell ref="C101:F101"/>
    <mergeCell ref="A92:G92"/>
    <mergeCell ref="B14:C14"/>
    <mergeCell ref="C108:F108"/>
    <mergeCell ref="B17:C17"/>
    <mergeCell ref="C104:F104"/>
    <mergeCell ref="C107:F107"/>
    <mergeCell ref="A45:G45"/>
    <mergeCell ref="E16:G16"/>
    <mergeCell ref="B13:C13"/>
    <mergeCell ref="A4:G4"/>
    <mergeCell ref="A20:G20"/>
    <mergeCell ref="E9:G9"/>
    <mergeCell ref="E15:G15"/>
    <mergeCell ref="A19:G19"/>
    <mergeCell ref="E6:G6"/>
    <mergeCell ref="B12:C12"/>
    <mergeCell ref="B8:C8"/>
    <mergeCell ref="E7:G7"/>
    <mergeCell ref="E5:G5"/>
    <mergeCell ref="B5:C5"/>
    <mergeCell ref="E8:G8"/>
    <mergeCell ref="E17:G17"/>
    <mergeCell ref="E10:G10"/>
    <mergeCell ref="C110:F110"/>
    <mergeCell ref="B16:C16"/>
    <mergeCell ref="E13:G13"/>
    <mergeCell ref="B7:C7"/>
    <mergeCell ref="C106:F106"/>
    <mergeCell ref="A91:G91"/>
    <mergeCell ref="C98:F98"/>
    <mergeCell ref="C103:F103"/>
    <mergeCell ref="C109:F109"/>
    <mergeCell ref="C105:F105"/>
  </mergeCells>
  <dataValidations count="1">
    <dataValidation type="list" allowBlank="1" sqref="G94 G95 G96 G97 G98 G99 G100 G101 G102 G103 G104 G105 G106 G107 G108 G109 G110 G111" xr:uid="{00000000-0002-0000-0000-000000000000}">
      <formula1>"Có,Không"</formula1>
    </dataValidation>
  </dataValidations>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44"/>
  <sheetViews>
    <sheetView workbookViewId="0">
      <pane xSplit="2" ySplit="4" topLeftCell="C5" activePane="bottomRight" state="frozen"/>
      <selection pane="topRight"/>
      <selection pane="bottomLeft"/>
      <selection pane="bottomRight"/>
    </sheetView>
  </sheetViews>
  <sheetFormatPr defaultRowHeight="15" x14ac:dyDescent="0.25"/>
  <cols>
    <col min="1" max="1" width="7" customWidth="1"/>
    <col min="2" max="2" width="9" customWidth="1"/>
    <col min="3" max="3" width="18" customWidth="1"/>
    <col min="4" max="4" width="11" customWidth="1"/>
    <col min="5" max="5" width="34" customWidth="1"/>
    <col min="6" max="6" width="17" customWidth="1"/>
    <col min="7" max="7" width="34" customWidth="1"/>
    <col min="8" max="8" width="9" customWidth="1"/>
    <col min="9" max="9" width="10" customWidth="1"/>
    <col min="10" max="12" width="9" customWidth="1"/>
    <col min="13" max="13" width="10" customWidth="1"/>
    <col min="14" max="14" width="11" customWidth="1"/>
    <col min="15" max="16" width="10" customWidth="1"/>
    <col min="17" max="17" width="9" customWidth="1"/>
    <col min="18" max="18" width="11" customWidth="1"/>
    <col min="19" max="19" width="12" customWidth="1"/>
    <col min="20" max="20" width="10" customWidth="1"/>
  </cols>
  <sheetData>
    <row r="1" spans="1:20" ht="30" customHeight="1" x14ac:dyDescent="0.25">
      <c r="A1" s="42" t="s">
        <v>346</v>
      </c>
      <c r="B1" s="43"/>
      <c r="C1" s="43"/>
      <c r="D1" s="43"/>
      <c r="E1" s="43"/>
      <c r="F1" s="43"/>
      <c r="G1" s="43"/>
      <c r="H1" s="43"/>
      <c r="I1" s="43"/>
      <c r="J1" s="43"/>
      <c r="K1" s="43"/>
      <c r="L1" s="43"/>
      <c r="M1" s="43"/>
      <c r="N1" s="43"/>
      <c r="O1" s="43"/>
      <c r="P1" s="43"/>
      <c r="Q1" s="43"/>
      <c r="R1" s="43"/>
      <c r="S1" s="43"/>
      <c r="T1" s="43"/>
    </row>
    <row r="2" spans="1:20" ht="42" customHeight="1" x14ac:dyDescent="0.25">
      <c r="A2" s="45" t="s">
        <v>347</v>
      </c>
      <c r="B2" s="39"/>
      <c r="C2" s="39"/>
      <c r="D2" s="39"/>
      <c r="E2" s="39"/>
      <c r="F2" s="39"/>
      <c r="G2" s="39"/>
      <c r="H2" s="39"/>
      <c r="I2" s="39"/>
      <c r="J2" s="39"/>
      <c r="K2" s="39"/>
      <c r="L2" s="39"/>
      <c r="M2" s="39"/>
      <c r="N2" s="39"/>
      <c r="O2" s="39"/>
      <c r="P2" s="39"/>
      <c r="Q2" s="39"/>
      <c r="R2" s="39"/>
      <c r="S2" s="39"/>
      <c r="T2" s="39"/>
    </row>
    <row r="4" spans="1:20" ht="48" customHeight="1" x14ac:dyDescent="0.25">
      <c r="A4" s="1" t="s">
        <v>34</v>
      </c>
      <c r="B4" s="1" t="s">
        <v>348</v>
      </c>
      <c r="C4" s="1" t="s">
        <v>349</v>
      </c>
      <c r="D4" s="1" t="s">
        <v>350</v>
      </c>
      <c r="E4" s="1" t="s">
        <v>351</v>
      </c>
      <c r="F4" s="1" t="s">
        <v>352</v>
      </c>
      <c r="G4" s="1" t="s">
        <v>353</v>
      </c>
      <c r="H4" s="1" t="s">
        <v>354</v>
      </c>
      <c r="I4" s="1" t="s">
        <v>355</v>
      </c>
      <c r="J4" s="1" t="s">
        <v>92</v>
      </c>
      <c r="K4" s="1" t="s">
        <v>356</v>
      </c>
      <c r="L4" s="1" t="s">
        <v>357</v>
      </c>
      <c r="M4" s="1" t="s">
        <v>358</v>
      </c>
      <c r="N4" s="1" t="s">
        <v>359</v>
      </c>
      <c r="O4" s="1" t="s">
        <v>360</v>
      </c>
      <c r="P4" s="1" t="s">
        <v>361</v>
      </c>
      <c r="Q4" s="1" t="s">
        <v>362</v>
      </c>
      <c r="R4" s="1" t="s">
        <v>20</v>
      </c>
      <c r="S4" s="1" t="s">
        <v>363</v>
      </c>
      <c r="T4" s="1" t="s">
        <v>364</v>
      </c>
    </row>
    <row r="5" spans="1:20" ht="43.5" customHeight="1" x14ac:dyDescent="0.25">
      <c r="A5" s="2" t="s">
        <v>365</v>
      </c>
      <c r="B5" s="2">
        <v>74</v>
      </c>
      <c r="C5" s="11" t="s">
        <v>366</v>
      </c>
      <c r="D5" s="12">
        <v>46065</v>
      </c>
      <c r="E5" s="2" t="s">
        <v>367</v>
      </c>
      <c r="F5" s="2" t="s">
        <v>368</v>
      </c>
      <c r="G5" s="2" t="s">
        <v>369</v>
      </c>
      <c r="H5" s="13">
        <v>3.3636574074074081E-3</v>
      </c>
      <c r="I5" s="14">
        <v>775000</v>
      </c>
      <c r="J5" s="14">
        <v>23200</v>
      </c>
      <c r="K5" s="14">
        <v>800</v>
      </c>
      <c r="L5" s="14">
        <v>3800</v>
      </c>
      <c r="M5" s="15">
        <f t="shared" ref="M5:M34" si="0">J5/I5</f>
        <v>2.9935483870967741E-2</v>
      </c>
      <c r="N5" s="16">
        <f t="shared" ref="N5:N34" si="1">K5/I5*1000</f>
        <v>1.032258064516129</v>
      </c>
      <c r="O5" s="17">
        <f t="shared" ref="O5:O34" si="2">L5/J5</f>
        <v>0.16379310344827586</v>
      </c>
      <c r="P5" s="14">
        <v>829</v>
      </c>
      <c r="Q5" s="18">
        <f t="shared" ref="Q5:Q34" si="3">P5/(H5*1440)</f>
        <v>171.15133163581305</v>
      </c>
      <c r="R5" s="2" t="s">
        <v>370</v>
      </c>
      <c r="S5" s="2" t="s">
        <v>371</v>
      </c>
      <c r="T5" s="2" t="s">
        <v>370</v>
      </c>
    </row>
    <row r="6" spans="1:20" ht="43.5" customHeight="1" x14ac:dyDescent="0.25">
      <c r="A6" s="19" t="s">
        <v>365</v>
      </c>
      <c r="B6" s="19">
        <v>86</v>
      </c>
      <c r="C6" s="20" t="s">
        <v>372</v>
      </c>
      <c r="D6" s="21">
        <v>46052</v>
      </c>
      <c r="E6" s="19" t="s">
        <v>373</v>
      </c>
      <c r="F6" s="19" t="s">
        <v>368</v>
      </c>
      <c r="G6" s="19" t="s">
        <v>374</v>
      </c>
      <c r="H6" s="22">
        <v>2.8009259259259258E-4</v>
      </c>
      <c r="I6" s="23">
        <v>575000</v>
      </c>
      <c r="J6" s="23">
        <v>10800</v>
      </c>
      <c r="K6" s="23">
        <v>297</v>
      </c>
      <c r="L6" s="23">
        <v>1200</v>
      </c>
      <c r="M6" s="24">
        <f t="shared" si="0"/>
        <v>1.8782608695652174E-2</v>
      </c>
      <c r="N6" s="25">
        <f t="shared" si="1"/>
        <v>0.51652173913043475</v>
      </c>
      <c r="O6" s="26">
        <f t="shared" si="2"/>
        <v>0.1111111111111111</v>
      </c>
      <c r="P6" s="23">
        <v>56</v>
      </c>
      <c r="Q6" s="27">
        <f t="shared" si="3"/>
        <v>138.84297520661158</v>
      </c>
      <c r="R6" s="19" t="s">
        <v>370</v>
      </c>
      <c r="S6" s="19" t="s">
        <v>370</v>
      </c>
      <c r="T6" s="19" t="s">
        <v>370</v>
      </c>
    </row>
    <row r="7" spans="1:20" ht="43.5" customHeight="1" x14ac:dyDescent="0.25">
      <c r="A7" s="2" t="s">
        <v>365</v>
      </c>
      <c r="B7" s="2">
        <v>50</v>
      </c>
      <c r="C7" s="11" t="s">
        <v>375</v>
      </c>
      <c r="D7" s="12">
        <v>46111</v>
      </c>
      <c r="E7" s="2" t="s">
        <v>376</v>
      </c>
      <c r="F7" s="2" t="s">
        <v>368</v>
      </c>
      <c r="G7" s="2" t="s">
        <v>377</v>
      </c>
      <c r="H7" s="13">
        <v>2.326770833333333E-3</v>
      </c>
      <c r="I7" s="14">
        <v>504000</v>
      </c>
      <c r="J7" s="14">
        <v>10000</v>
      </c>
      <c r="K7" s="14">
        <v>581</v>
      </c>
      <c r="L7" s="14">
        <v>1300</v>
      </c>
      <c r="M7" s="15">
        <f t="shared" si="0"/>
        <v>1.984126984126984E-2</v>
      </c>
      <c r="N7" s="16">
        <f t="shared" si="1"/>
        <v>1.1527777777777777</v>
      </c>
      <c r="O7" s="17">
        <f t="shared" si="2"/>
        <v>0.13</v>
      </c>
      <c r="P7" s="14">
        <v>543</v>
      </c>
      <c r="Q7" s="18">
        <f t="shared" si="3"/>
        <v>162.062944889645</v>
      </c>
      <c r="R7" s="2" t="s">
        <v>371</v>
      </c>
      <c r="S7" s="2" t="s">
        <v>371</v>
      </c>
      <c r="T7" s="2" t="s">
        <v>370</v>
      </c>
    </row>
    <row r="8" spans="1:20" ht="43.5" customHeight="1" x14ac:dyDescent="0.25">
      <c r="A8" s="19" t="s">
        <v>365</v>
      </c>
      <c r="B8" s="19">
        <v>96</v>
      </c>
      <c r="C8" s="20" t="s">
        <v>378</v>
      </c>
      <c r="D8" s="21">
        <v>46042</v>
      </c>
      <c r="E8" s="19" t="s">
        <v>379</v>
      </c>
      <c r="F8" s="19" t="s">
        <v>368</v>
      </c>
      <c r="G8" s="19" t="s">
        <v>380</v>
      </c>
      <c r="H8" s="22">
        <v>2.6127777777777781E-3</v>
      </c>
      <c r="I8" s="23">
        <v>473000</v>
      </c>
      <c r="J8" s="23">
        <v>7700</v>
      </c>
      <c r="K8" s="23">
        <v>439</v>
      </c>
      <c r="L8" s="23">
        <v>1600</v>
      </c>
      <c r="M8" s="24">
        <f t="shared" si="0"/>
        <v>1.627906976744186E-2</v>
      </c>
      <c r="N8" s="25">
        <f t="shared" si="1"/>
        <v>0.92811839323467227</v>
      </c>
      <c r="O8" s="26">
        <f t="shared" si="2"/>
        <v>0.20779220779220781</v>
      </c>
      <c r="P8" s="23">
        <v>622</v>
      </c>
      <c r="Q8" s="27">
        <f t="shared" si="3"/>
        <v>165.32000850520942</v>
      </c>
      <c r="R8" s="19" t="s">
        <v>371</v>
      </c>
      <c r="S8" s="19" t="s">
        <v>371</v>
      </c>
      <c r="T8" s="19" t="s">
        <v>370</v>
      </c>
    </row>
    <row r="9" spans="1:20" ht="43.5" customHeight="1" x14ac:dyDescent="0.25">
      <c r="A9" s="2" t="s">
        <v>365</v>
      </c>
      <c r="B9" s="2">
        <v>77</v>
      </c>
      <c r="C9" s="11" t="s">
        <v>381</v>
      </c>
      <c r="D9" s="12">
        <v>46060</v>
      </c>
      <c r="E9" s="2" t="s">
        <v>382</v>
      </c>
      <c r="F9" s="2" t="s">
        <v>368</v>
      </c>
      <c r="G9" s="2" t="s">
        <v>383</v>
      </c>
      <c r="H9" s="13">
        <v>1.516006944444444E-3</v>
      </c>
      <c r="I9" s="14">
        <v>325000</v>
      </c>
      <c r="J9" s="14">
        <v>10000</v>
      </c>
      <c r="K9" s="14">
        <v>610</v>
      </c>
      <c r="L9" s="14">
        <v>941</v>
      </c>
      <c r="M9" s="15">
        <f t="shared" si="0"/>
        <v>3.0769230769230771E-2</v>
      </c>
      <c r="N9" s="16">
        <f t="shared" si="1"/>
        <v>1.8769230769230769</v>
      </c>
      <c r="O9" s="17">
        <f t="shared" si="2"/>
        <v>9.4100000000000003E-2</v>
      </c>
      <c r="P9" s="14">
        <v>369</v>
      </c>
      <c r="Q9" s="18">
        <f t="shared" si="3"/>
        <v>169.02956872265872</v>
      </c>
      <c r="R9" s="2" t="s">
        <v>371</v>
      </c>
      <c r="S9" s="2" t="s">
        <v>371</v>
      </c>
      <c r="T9" s="2" t="s">
        <v>371</v>
      </c>
    </row>
    <row r="10" spans="1:20" ht="43.5" customHeight="1" x14ac:dyDescent="0.25">
      <c r="A10" s="19" t="s">
        <v>365</v>
      </c>
      <c r="B10" s="19">
        <v>93</v>
      </c>
      <c r="C10" s="20" t="s">
        <v>384</v>
      </c>
      <c r="D10" s="21">
        <v>46045</v>
      </c>
      <c r="E10" s="19" t="s">
        <v>385</v>
      </c>
      <c r="F10" s="19" t="s">
        <v>368</v>
      </c>
      <c r="G10" s="19" t="s">
        <v>386</v>
      </c>
      <c r="H10" s="22">
        <v>4.9378819444444444E-3</v>
      </c>
      <c r="I10" s="23">
        <v>324000</v>
      </c>
      <c r="J10" s="23">
        <v>8200</v>
      </c>
      <c r="K10" s="23">
        <v>400</v>
      </c>
      <c r="L10" s="23">
        <v>1100</v>
      </c>
      <c r="M10" s="24">
        <f t="shared" si="0"/>
        <v>2.5308641975308643E-2</v>
      </c>
      <c r="N10" s="25">
        <f t="shared" si="1"/>
        <v>1.2345679012345678</v>
      </c>
      <c r="O10" s="26">
        <f t="shared" si="2"/>
        <v>0.13414634146341464</v>
      </c>
      <c r="P10" s="23">
        <v>1273</v>
      </c>
      <c r="Q10" s="27">
        <f t="shared" si="3"/>
        <v>179.02975156633454</v>
      </c>
      <c r="R10" s="19" t="s">
        <v>370</v>
      </c>
      <c r="S10" s="19" t="s">
        <v>371</v>
      </c>
      <c r="T10" s="19" t="s">
        <v>370</v>
      </c>
    </row>
    <row r="11" spans="1:20" ht="43.5" customHeight="1" x14ac:dyDescent="0.25">
      <c r="A11" s="2" t="s">
        <v>365</v>
      </c>
      <c r="B11" s="2">
        <v>79</v>
      </c>
      <c r="C11" s="11" t="s">
        <v>387</v>
      </c>
      <c r="D11" s="12">
        <v>46058</v>
      </c>
      <c r="E11" s="2" t="s">
        <v>388</v>
      </c>
      <c r="F11" s="2" t="s">
        <v>368</v>
      </c>
      <c r="G11" s="2" t="s">
        <v>389</v>
      </c>
      <c r="H11" s="13">
        <v>1.2359722222222221E-3</v>
      </c>
      <c r="I11" s="14">
        <v>323000</v>
      </c>
      <c r="J11" s="14">
        <v>7900</v>
      </c>
      <c r="K11" s="14">
        <v>1000</v>
      </c>
      <c r="L11" s="14">
        <v>650</v>
      </c>
      <c r="M11" s="15">
        <f t="shared" si="0"/>
        <v>2.4458204334365324E-2</v>
      </c>
      <c r="N11" s="16">
        <f t="shared" si="1"/>
        <v>3.0959752321981426</v>
      </c>
      <c r="O11" s="17">
        <f t="shared" si="2"/>
        <v>8.2278481012658222E-2</v>
      </c>
      <c r="P11" s="14">
        <v>242</v>
      </c>
      <c r="Q11" s="18">
        <f t="shared" si="3"/>
        <v>135.97033374536466</v>
      </c>
      <c r="R11" s="2" t="s">
        <v>371</v>
      </c>
      <c r="S11" s="2" t="s">
        <v>370</v>
      </c>
      <c r="T11" s="2" t="s">
        <v>371</v>
      </c>
    </row>
    <row r="12" spans="1:20" ht="43.5" customHeight="1" x14ac:dyDescent="0.25">
      <c r="A12" s="19" t="s">
        <v>365</v>
      </c>
      <c r="B12" s="19">
        <v>25</v>
      </c>
      <c r="C12" s="20" t="s">
        <v>390</v>
      </c>
      <c r="D12" s="21">
        <v>46237</v>
      </c>
      <c r="E12" s="19" t="s">
        <v>391</v>
      </c>
      <c r="F12" s="19" t="s">
        <v>368</v>
      </c>
      <c r="G12" s="19" t="s">
        <v>392</v>
      </c>
      <c r="H12" s="22">
        <v>6.4486805555555556E-3</v>
      </c>
      <c r="I12" s="23">
        <v>308000</v>
      </c>
      <c r="J12" s="23">
        <v>5100</v>
      </c>
      <c r="K12" s="23">
        <v>169</v>
      </c>
      <c r="L12" s="23">
        <v>602</v>
      </c>
      <c r="M12" s="24">
        <f t="shared" si="0"/>
        <v>1.6558441558441557E-2</v>
      </c>
      <c r="N12" s="25">
        <f t="shared" si="1"/>
        <v>0.54870129870129869</v>
      </c>
      <c r="O12" s="26">
        <f t="shared" si="2"/>
        <v>0.11803921568627451</v>
      </c>
      <c r="P12" s="23">
        <v>1736</v>
      </c>
      <c r="Q12" s="27">
        <f t="shared" si="3"/>
        <v>186.94608070126318</v>
      </c>
      <c r="R12" s="19" t="s">
        <v>370</v>
      </c>
      <c r="S12" s="19" t="s">
        <v>371</v>
      </c>
      <c r="T12" s="19" t="s">
        <v>370</v>
      </c>
    </row>
    <row r="13" spans="1:20" ht="43.5" customHeight="1" x14ac:dyDescent="0.25">
      <c r="A13" s="2" t="s">
        <v>365</v>
      </c>
      <c r="B13" s="2">
        <v>48</v>
      </c>
      <c r="C13" s="11" t="s">
        <v>393</v>
      </c>
      <c r="D13" s="12">
        <v>46114</v>
      </c>
      <c r="E13" s="2" t="s">
        <v>394</v>
      </c>
      <c r="F13" s="2" t="s">
        <v>368</v>
      </c>
      <c r="G13" s="2" t="s">
        <v>395</v>
      </c>
      <c r="H13" s="13">
        <v>1.492259259259259E-2</v>
      </c>
      <c r="I13" s="14">
        <v>304000</v>
      </c>
      <c r="J13" s="14">
        <v>5200</v>
      </c>
      <c r="K13" s="14">
        <v>461</v>
      </c>
      <c r="L13" s="14">
        <v>751</v>
      </c>
      <c r="M13" s="15">
        <f t="shared" si="0"/>
        <v>1.7105263157894738E-2</v>
      </c>
      <c r="N13" s="16">
        <f t="shared" si="1"/>
        <v>1.5164473684210524</v>
      </c>
      <c r="O13" s="17">
        <f t="shared" si="2"/>
        <v>0.14442307692307693</v>
      </c>
      <c r="P13" s="14">
        <v>3360</v>
      </c>
      <c r="Q13" s="18">
        <f t="shared" si="3"/>
        <v>156.36246308108514</v>
      </c>
      <c r="R13" s="2" t="s">
        <v>370</v>
      </c>
      <c r="S13" s="2" t="s">
        <v>371</v>
      </c>
      <c r="T13" s="2" t="s">
        <v>370</v>
      </c>
    </row>
    <row r="14" spans="1:20" ht="43.5" customHeight="1" x14ac:dyDescent="0.25">
      <c r="A14" s="19" t="s">
        <v>365</v>
      </c>
      <c r="B14" s="19">
        <v>92</v>
      </c>
      <c r="C14" s="20" t="s">
        <v>396</v>
      </c>
      <c r="D14" s="21">
        <v>46047</v>
      </c>
      <c r="E14" s="19" t="s">
        <v>397</v>
      </c>
      <c r="F14" s="19" t="s">
        <v>368</v>
      </c>
      <c r="G14" s="19" t="s">
        <v>398</v>
      </c>
      <c r="H14" s="22">
        <v>2.8163194444444438E-4</v>
      </c>
      <c r="I14" s="23">
        <v>234000</v>
      </c>
      <c r="J14" s="23">
        <v>4400</v>
      </c>
      <c r="K14" s="23">
        <v>95</v>
      </c>
      <c r="L14" s="23">
        <v>361</v>
      </c>
      <c r="M14" s="24">
        <f t="shared" si="0"/>
        <v>1.8803418803418803E-2</v>
      </c>
      <c r="N14" s="25">
        <f t="shared" si="1"/>
        <v>0.40598290598290598</v>
      </c>
      <c r="O14" s="26">
        <f t="shared" si="2"/>
        <v>8.2045454545454546E-2</v>
      </c>
      <c r="P14" s="23">
        <v>56</v>
      </c>
      <c r="Q14" s="27">
        <f t="shared" si="3"/>
        <v>138.08408334360749</v>
      </c>
      <c r="R14" s="19" t="s">
        <v>371</v>
      </c>
      <c r="S14" s="19" t="s">
        <v>370</v>
      </c>
      <c r="T14" s="19" t="s">
        <v>370</v>
      </c>
    </row>
    <row r="15" spans="1:20" ht="43.5" customHeight="1" x14ac:dyDescent="0.25">
      <c r="A15" s="2" t="s">
        <v>365</v>
      </c>
      <c r="B15" s="2">
        <v>76</v>
      </c>
      <c r="C15" s="11" t="s">
        <v>399</v>
      </c>
      <c r="D15" s="12">
        <v>46061</v>
      </c>
      <c r="E15" s="2" t="s">
        <v>400</v>
      </c>
      <c r="F15" s="2" t="s">
        <v>368</v>
      </c>
      <c r="G15" s="2" t="s">
        <v>401</v>
      </c>
      <c r="H15" s="13">
        <v>1.690428240740741E-3</v>
      </c>
      <c r="I15" s="14">
        <v>200000</v>
      </c>
      <c r="J15" s="14">
        <v>6800</v>
      </c>
      <c r="K15" s="14">
        <v>281</v>
      </c>
      <c r="L15" s="14">
        <v>873</v>
      </c>
      <c r="M15" s="15">
        <f t="shared" si="0"/>
        <v>3.4000000000000002E-2</v>
      </c>
      <c r="N15" s="16">
        <f t="shared" si="1"/>
        <v>1.405</v>
      </c>
      <c r="O15" s="17">
        <f t="shared" si="2"/>
        <v>0.12838235294117648</v>
      </c>
      <c r="P15" s="14">
        <v>416</v>
      </c>
      <c r="Q15" s="18">
        <f t="shared" si="3"/>
        <v>170.89686620610325</v>
      </c>
      <c r="R15" s="2" t="s">
        <v>370</v>
      </c>
      <c r="S15" s="2" t="s">
        <v>371</v>
      </c>
      <c r="T15" s="2" t="s">
        <v>371</v>
      </c>
    </row>
    <row r="16" spans="1:20" ht="43.5" customHeight="1" x14ac:dyDescent="0.25">
      <c r="A16" s="19" t="s">
        <v>365</v>
      </c>
      <c r="B16" s="19">
        <v>91</v>
      </c>
      <c r="C16" s="20" t="s">
        <v>402</v>
      </c>
      <c r="D16" s="21">
        <v>46048</v>
      </c>
      <c r="E16" s="19" t="s">
        <v>403</v>
      </c>
      <c r="F16" s="19" t="s">
        <v>368</v>
      </c>
      <c r="G16" s="19" t="s">
        <v>404</v>
      </c>
      <c r="H16" s="22">
        <v>3.5045138888888892E-4</v>
      </c>
      <c r="I16" s="23">
        <v>182000</v>
      </c>
      <c r="J16" s="23">
        <v>3600</v>
      </c>
      <c r="K16" s="23">
        <v>88</v>
      </c>
      <c r="L16" s="23">
        <v>440</v>
      </c>
      <c r="M16" s="24">
        <f t="shared" si="0"/>
        <v>1.9780219780219779E-2</v>
      </c>
      <c r="N16" s="25">
        <f t="shared" si="1"/>
        <v>0.48351648351648352</v>
      </c>
      <c r="O16" s="26">
        <f t="shared" si="2"/>
        <v>0.12222222222222222</v>
      </c>
      <c r="P16" s="23">
        <v>67</v>
      </c>
      <c r="Q16" s="27">
        <f t="shared" si="3"/>
        <v>132.76528286931534</v>
      </c>
      <c r="R16" s="19" t="s">
        <v>371</v>
      </c>
      <c r="S16" s="19" t="s">
        <v>370</v>
      </c>
      <c r="T16" s="19" t="s">
        <v>370</v>
      </c>
    </row>
    <row r="17" spans="1:20" ht="43.5" customHeight="1" x14ac:dyDescent="0.25">
      <c r="A17" s="2" t="s">
        <v>365</v>
      </c>
      <c r="B17" s="2">
        <v>89</v>
      </c>
      <c r="C17" s="11" t="s">
        <v>405</v>
      </c>
      <c r="D17" s="12">
        <v>46050</v>
      </c>
      <c r="E17" s="2" t="s">
        <v>406</v>
      </c>
      <c r="F17" s="2" t="s">
        <v>368</v>
      </c>
      <c r="G17" s="2" t="s">
        <v>407</v>
      </c>
      <c r="H17" s="13">
        <v>1.535902777777778E-3</v>
      </c>
      <c r="I17" s="14">
        <v>173000</v>
      </c>
      <c r="J17" s="14">
        <v>3700</v>
      </c>
      <c r="K17" s="14">
        <v>159</v>
      </c>
      <c r="L17" s="14">
        <v>231</v>
      </c>
      <c r="M17" s="15">
        <f t="shared" si="0"/>
        <v>2.1387283236994219E-2</v>
      </c>
      <c r="N17" s="16">
        <f t="shared" si="1"/>
        <v>0.91907514450867056</v>
      </c>
      <c r="O17" s="17">
        <f t="shared" si="2"/>
        <v>6.2432432432432433E-2</v>
      </c>
      <c r="P17" s="14">
        <v>414</v>
      </c>
      <c r="Q17" s="18">
        <f t="shared" si="3"/>
        <v>187.18632725957406</v>
      </c>
      <c r="R17" s="2" t="s">
        <v>371</v>
      </c>
      <c r="S17" s="2" t="s">
        <v>371</v>
      </c>
      <c r="T17" s="2" t="s">
        <v>370</v>
      </c>
    </row>
    <row r="18" spans="1:20" ht="43.5" customHeight="1" x14ac:dyDescent="0.25">
      <c r="A18" s="19" t="s">
        <v>365</v>
      </c>
      <c r="B18" s="19">
        <v>7</v>
      </c>
      <c r="C18" s="20" t="s">
        <v>408</v>
      </c>
      <c r="D18" s="21">
        <v>46289</v>
      </c>
      <c r="E18" s="19" t="s">
        <v>409</v>
      </c>
      <c r="F18" s="19" t="s">
        <v>368</v>
      </c>
      <c r="G18" s="19" t="s">
        <v>410</v>
      </c>
      <c r="H18" s="22">
        <v>4.5255787037037042E-4</v>
      </c>
      <c r="I18" s="23">
        <v>169000</v>
      </c>
      <c r="J18" s="23">
        <v>1300</v>
      </c>
      <c r="K18" s="23">
        <v>74</v>
      </c>
      <c r="L18" s="23">
        <v>48</v>
      </c>
      <c r="M18" s="24">
        <f t="shared" si="0"/>
        <v>7.6923076923076927E-3</v>
      </c>
      <c r="N18" s="25">
        <f t="shared" si="1"/>
        <v>0.43786982248520706</v>
      </c>
      <c r="O18" s="26">
        <f t="shared" si="2"/>
        <v>3.6923076923076927E-2</v>
      </c>
      <c r="P18" s="23">
        <v>121</v>
      </c>
      <c r="Q18" s="27">
        <f t="shared" si="3"/>
        <v>185.67300069051942</v>
      </c>
      <c r="R18" s="19" t="s">
        <v>370</v>
      </c>
      <c r="S18" s="19" t="s">
        <v>370</v>
      </c>
      <c r="T18" s="19" t="s">
        <v>370</v>
      </c>
    </row>
    <row r="19" spans="1:20" ht="43.5" customHeight="1" x14ac:dyDescent="0.25">
      <c r="A19" s="2" t="s">
        <v>365</v>
      </c>
      <c r="B19" s="2">
        <v>97</v>
      </c>
      <c r="C19" s="11" t="s">
        <v>411</v>
      </c>
      <c r="D19" s="12">
        <v>46041</v>
      </c>
      <c r="E19" s="2" t="s">
        <v>412</v>
      </c>
      <c r="F19" s="2" t="s">
        <v>368</v>
      </c>
      <c r="G19" s="2" t="s">
        <v>413</v>
      </c>
      <c r="H19" s="13">
        <v>2.7364930555555549E-3</v>
      </c>
      <c r="I19" s="14">
        <v>168000</v>
      </c>
      <c r="J19" s="14">
        <v>5200</v>
      </c>
      <c r="K19" s="14">
        <v>258</v>
      </c>
      <c r="L19" s="14">
        <v>585</v>
      </c>
      <c r="M19" s="15">
        <f t="shared" si="0"/>
        <v>3.0952380952380953E-2</v>
      </c>
      <c r="N19" s="16">
        <f t="shared" si="1"/>
        <v>1.5357142857142856</v>
      </c>
      <c r="O19" s="17">
        <f t="shared" si="2"/>
        <v>0.1125</v>
      </c>
      <c r="P19" s="14">
        <v>763</v>
      </c>
      <c r="Q19" s="18">
        <f t="shared" si="3"/>
        <v>193.62779307457086</v>
      </c>
      <c r="R19" s="2" t="s">
        <v>370</v>
      </c>
      <c r="S19" s="2" t="s">
        <v>371</v>
      </c>
      <c r="T19" s="2" t="s">
        <v>371</v>
      </c>
    </row>
    <row r="20" spans="1:20" ht="43.5" customHeight="1" x14ac:dyDescent="0.25">
      <c r="A20" s="19" t="s">
        <v>365</v>
      </c>
      <c r="B20" s="19">
        <v>94</v>
      </c>
      <c r="C20" s="20" t="s">
        <v>414</v>
      </c>
      <c r="D20" s="21">
        <v>46044</v>
      </c>
      <c r="E20" s="19" t="s">
        <v>415</v>
      </c>
      <c r="F20" s="19" t="s">
        <v>368</v>
      </c>
      <c r="G20" s="19" t="s">
        <v>416</v>
      </c>
      <c r="H20" s="22">
        <v>2.8939004629629631E-3</v>
      </c>
      <c r="I20" s="23">
        <v>165000</v>
      </c>
      <c r="J20" s="23">
        <v>3500</v>
      </c>
      <c r="K20" s="23">
        <v>203</v>
      </c>
      <c r="L20" s="23">
        <v>366</v>
      </c>
      <c r="M20" s="24">
        <f t="shared" si="0"/>
        <v>2.1212121212121213E-2</v>
      </c>
      <c r="N20" s="25">
        <f t="shared" si="1"/>
        <v>1.2303030303030305</v>
      </c>
      <c r="O20" s="26">
        <f t="shared" si="2"/>
        <v>0.10457142857142857</v>
      </c>
      <c r="P20" s="23">
        <v>677</v>
      </c>
      <c r="Q20" s="27">
        <f t="shared" si="3"/>
        <v>162.45855547067788</v>
      </c>
      <c r="R20" s="19" t="s">
        <v>371</v>
      </c>
      <c r="S20" s="19" t="s">
        <v>371</v>
      </c>
      <c r="T20" s="19" t="s">
        <v>370</v>
      </c>
    </row>
    <row r="21" spans="1:20" ht="43.5" customHeight="1" x14ac:dyDescent="0.25">
      <c r="A21" s="2" t="s">
        <v>365</v>
      </c>
      <c r="B21" s="2">
        <v>88</v>
      </c>
      <c r="C21" s="11" t="s">
        <v>417</v>
      </c>
      <c r="D21" s="12">
        <v>46051</v>
      </c>
      <c r="E21" s="2" t="s">
        <v>418</v>
      </c>
      <c r="F21" s="2" t="s">
        <v>368</v>
      </c>
      <c r="G21" s="2" t="s">
        <v>419</v>
      </c>
      <c r="H21" s="13">
        <v>1.957175925925926E-3</v>
      </c>
      <c r="I21" s="14">
        <v>144000</v>
      </c>
      <c r="J21" s="14">
        <v>2200</v>
      </c>
      <c r="K21" s="14">
        <v>200</v>
      </c>
      <c r="L21" s="14">
        <v>187</v>
      </c>
      <c r="M21" s="15">
        <f t="shared" si="0"/>
        <v>1.5277777777777777E-2</v>
      </c>
      <c r="N21" s="16">
        <f t="shared" si="1"/>
        <v>1.3888888888888888</v>
      </c>
      <c r="O21" s="17">
        <f t="shared" si="2"/>
        <v>8.5000000000000006E-2</v>
      </c>
      <c r="P21" s="14">
        <v>495</v>
      </c>
      <c r="Q21" s="18">
        <f t="shared" si="3"/>
        <v>175.63571850975754</v>
      </c>
      <c r="R21" s="2" t="s">
        <v>371</v>
      </c>
      <c r="S21" s="2" t="s">
        <v>370</v>
      </c>
      <c r="T21" s="2" t="s">
        <v>370</v>
      </c>
    </row>
    <row r="22" spans="1:20" ht="43.5" customHeight="1" x14ac:dyDescent="0.25">
      <c r="A22" s="19" t="s">
        <v>365</v>
      </c>
      <c r="B22" s="19">
        <v>62</v>
      </c>
      <c r="C22" s="20" t="s">
        <v>420</v>
      </c>
      <c r="D22" s="21">
        <v>46088</v>
      </c>
      <c r="E22" s="19" t="s">
        <v>421</v>
      </c>
      <c r="F22" s="19" t="s">
        <v>368</v>
      </c>
      <c r="G22" s="19" t="s">
        <v>422</v>
      </c>
      <c r="H22" s="22">
        <v>9.5204629629629632E-3</v>
      </c>
      <c r="I22" s="23">
        <v>134000</v>
      </c>
      <c r="J22" s="23">
        <v>2800</v>
      </c>
      <c r="K22" s="23">
        <v>215</v>
      </c>
      <c r="L22" s="23">
        <v>478</v>
      </c>
      <c r="M22" s="24">
        <f t="shared" si="0"/>
        <v>2.0895522388059702E-2</v>
      </c>
      <c r="N22" s="25">
        <f t="shared" si="1"/>
        <v>1.6044776119402986</v>
      </c>
      <c r="O22" s="26">
        <f t="shared" si="2"/>
        <v>0.17071428571428571</v>
      </c>
      <c r="P22" s="23">
        <v>2223</v>
      </c>
      <c r="Q22" s="27">
        <f t="shared" si="3"/>
        <v>162.15072796413182</v>
      </c>
      <c r="R22" s="19" t="s">
        <v>371</v>
      </c>
      <c r="S22" s="19" t="s">
        <v>371</v>
      </c>
      <c r="T22" s="19" t="s">
        <v>370</v>
      </c>
    </row>
    <row r="23" spans="1:20" ht="43.5" customHeight="1" x14ac:dyDescent="0.25">
      <c r="A23" s="2" t="s">
        <v>365</v>
      </c>
      <c r="B23" s="2">
        <v>98</v>
      </c>
      <c r="C23" s="11" t="s">
        <v>423</v>
      </c>
      <c r="D23" s="12">
        <v>46040</v>
      </c>
      <c r="E23" s="2" t="s">
        <v>424</v>
      </c>
      <c r="F23" s="2" t="s">
        <v>368</v>
      </c>
      <c r="G23" s="2" t="s">
        <v>425</v>
      </c>
      <c r="H23" s="13">
        <v>1.2053240740740739E-3</v>
      </c>
      <c r="I23" s="14">
        <v>118000</v>
      </c>
      <c r="J23" s="14">
        <v>2000</v>
      </c>
      <c r="K23" s="14">
        <v>51</v>
      </c>
      <c r="L23" s="14">
        <v>185</v>
      </c>
      <c r="M23" s="15">
        <f t="shared" si="0"/>
        <v>1.6949152542372881E-2</v>
      </c>
      <c r="N23" s="16">
        <f t="shared" si="1"/>
        <v>0.43220338983050843</v>
      </c>
      <c r="O23" s="17">
        <f t="shared" si="2"/>
        <v>9.2499999999999999E-2</v>
      </c>
      <c r="P23" s="14">
        <v>309</v>
      </c>
      <c r="Q23" s="18">
        <f t="shared" si="3"/>
        <v>178.02957557134627</v>
      </c>
      <c r="R23" s="2" t="s">
        <v>371</v>
      </c>
      <c r="S23" s="2" t="s">
        <v>370</v>
      </c>
      <c r="T23" s="2" t="s">
        <v>370</v>
      </c>
    </row>
    <row r="24" spans="1:20" ht="43.5" customHeight="1" x14ac:dyDescent="0.25">
      <c r="A24" s="19" t="s">
        <v>365</v>
      </c>
      <c r="B24" s="19">
        <v>17</v>
      </c>
      <c r="C24" s="20" t="s">
        <v>426</v>
      </c>
      <c r="D24" s="21">
        <v>46261</v>
      </c>
      <c r="E24" s="19" t="s">
        <v>427</v>
      </c>
      <c r="F24" s="19" t="s">
        <v>428</v>
      </c>
      <c r="G24" s="19" t="s">
        <v>429</v>
      </c>
      <c r="H24" s="22">
        <v>6.7998958333333331E-3</v>
      </c>
      <c r="I24" s="23">
        <v>98000</v>
      </c>
      <c r="J24" s="23">
        <v>2400</v>
      </c>
      <c r="K24" s="23">
        <v>127</v>
      </c>
      <c r="L24" s="23">
        <v>353</v>
      </c>
      <c r="M24" s="24">
        <f t="shared" si="0"/>
        <v>2.4489795918367346E-2</v>
      </c>
      <c r="N24" s="25">
        <f t="shared" si="1"/>
        <v>1.2959183673469388</v>
      </c>
      <c r="O24" s="26">
        <f t="shared" si="2"/>
        <v>0.14708333333333334</v>
      </c>
      <c r="P24" s="23">
        <v>1635</v>
      </c>
      <c r="Q24" s="27">
        <f t="shared" si="3"/>
        <v>166.97559705265093</v>
      </c>
      <c r="R24" s="19" t="s">
        <v>370</v>
      </c>
      <c r="S24" s="19" t="s">
        <v>371</v>
      </c>
      <c r="T24" s="19" t="s">
        <v>370</v>
      </c>
    </row>
    <row r="25" spans="1:20" ht="43.5" customHeight="1" x14ac:dyDescent="0.25">
      <c r="A25" s="2" t="s">
        <v>430</v>
      </c>
      <c r="B25" s="2">
        <v>80</v>
      </c>
      <c r="C25" s="11" t="s">
        <v>431</v>
      </c>
      <c r="D25" s="12">
        <v>46057</v>
      </c>
      <c r="E25" s="2" t="s">
        <v>432</v>
      </c>
      <c r="F25" s="2" t="s">
        <v>433</v>
      </c>
      <c r="G25" s="2" t="s">
        <v>434</v>
      </c>
      <c r="H25" s="13">
        <v>4.1462152777777782E-3</v>
      </c>
      <c r="I25" s="14">
        <v>12000</v>
      </c>
      <c r="J25" s="14">
        <v>203</v>
      </c>
      <c r="K25" s="14">
        <v>7</v>
      </c>
      <c r="L25" s="14">
        <v>13</v>
      </c>
      <c r="M25" s="15">
        <f t="shared" si="0"/>
        <v>1.6916666666666667E-2</v>
      </c>
      <c r="N25" s="16">
        <f t="shared" si="1"/>
        <v>0.58333333333333337</v>
      </c>
      <c r="O25" s="17">
        <f t="shared" si="2"/>
        <v>6.4039408866995079E-2</v>
      </c>
      <c r="P25" s="14">
        <v>1036</v>
      </c>
      <c r="Q25" s="18">
        <f t="shared" si="3"/>
        <v>173.51835258058301</v>
      </c>
      <c r="R25" s="2" t="s">
        <v>370</v>
      </c>
      <c r="S25" s="2" t="s">
        <v>371</v>
      </c>
      <c r="T25" s="2" t="s">
        <v>370</v>
      </c>
    </row>
    <row r="26" spans="1:20" ht="43.5" customHeight="1" x14ac:dyDescent="0.25">
      <c r="A26" s="19" t="s">
        <v>430</v>
      </c>
      <c r="B26" s="19">
        <v>66</v>
      </c>
      <c r="C26" s="20" t="s">
        <v>435</v>
      </c>
      <c r="D26" s="21">
        <v>46079</v>
      </c>
      <c r="E26" s="19" t="s">
        <v>436</v>
      </c>
      <c r="F26" s="19" t="s">
        <v>433</v>
      </c>
      <c r="G26" s="19" t="s">
        <v>437</v>
      </c>
      <c r="H26" s="22">
        <v>3.3418981481481481E-3</v>
      </c>
      <c r="I26" s="23">
        <v>11000</v>
      </c>
      <c r="J26" s="23">
        <v>254</v>
      </c>
      <c r="K26" s="23">
        <v>18</v>
      </c>
      <c r="L26" s="23">
        <v>13</v>
      </c>
      <c r="M26" s="24">
        <f t="shared" si="0"/>
        <v>2.3090909090909092E-2</v>
      </c>
      <c r="N26" s="25">
        <f t="shared" si="1"/>
        <v>1.6363636363636362</v>
      </c>
      <c r="O26" s="26">
        <f t="shared" si="2"/>
        <v>5.1181102362204724E-2</v>
      </c>
      <c r="P26" s="23">
        <v>917</v>
      </c>
      <c r="Q26" s="27">
        <f t="shared" si="3"/>
        <v>190.55205375077927</v>
      </c>
      <c r="R26" s="19" t="s">
        <v>370</v>
      </c>
      <c r="S26" s="19" t="s">
        <v>370</v>
      </c>
      <c r="T26" s="19" t="s">
        <v>370</v>
      </c>
    </row>
    <row r="27" spans="1:20" ht="43.5" customHeight="1" x14ac:dyDescent="0.25">
      <c r="A27" s="2" t="s">
        <v>430</v>
      </c>
      <c r="B27" s="2">
        <v>85</v>
      </c>
      <c r="C27" s="11" t="s">
        <v>438</v>
      </c>
      <c r="D27" s="12">
        <v>46053</v>
      </c>
      <c r="E27" s="2" t="s">
        <v>439</v>
      </c>
      <c r="F27" s="2" t="s">
        <v>433</v>
      </c>
      <c r="G27" s="2" t="s">
        <v>440</v>
      </c>
      <c r="H27" s="13">
        <v>1.4335069444444441E-3</v>
      </c>
      <c r="I27" s="14">
        <v>10000</v>
      </c>
      <c r="J27" s="14">
        <v>164</v>
      </c>
      <c r="K27" s="14">
        <v>7</v>
      </c>
      <c r="L27" s="14">
        <v>17</v>
      </c>
      <c r="M27" s="15">
        <f t="shared" si="0"/>
        <v>1.6400000000000001E-2</v>
      </c>
      <c r="N27" s="16">
        <f t="shared" si="1"/>
        <v>0.7</v>
      </c>
      <c r="O27" s="17">
        <f t="shared" si="2"/>
        <v>0.10365853658536585</v>
      </c>
      <c r="P27" s="14">
        <v>359</v>
      </c>
      <c r="Q27" s="18">
        <f t="shared" si="3"/>
        <v>173.9130434782609</v>
      </c>
      <c r="R27" s="2" t="s">
        <v>370</v>
      </c>
      <c r="S27" s="2" t="s">
        <v>370</v>
      </c>
      <c r="T27" s="2" t="s">
        <v>370</v>
      </c>
    </row>
    <row r="28" spans="1:20" ht="43.5" customHeight="1" x14ac:dyDescent="0.25">
      <c r="A28" s="19" t="s">
        <v>430</v>
      </c>
      <c r="B28" s="19">
        <v>56</v>
      </c>
      <c r="C28" s="20" t="s">
        <v>441</v>
      </c>
      <c r="D28" s="21">
        <v>46100</v>
      </c>
      <c r="E28" s="19" t="s">
        <v>442</v>
      </c>
      <c r="F28" s="19" t="s">
        <v>433</v>
      </c>
      <c r="G28" s="19" t="s">
        <v>443</v>
      </c>
      <c r="H28" s="22">
        <v>7.7510185185185182E-3</v>
      </c>
      <c r="I28" s="23">
        <v>10000</v>
      </c>
      <c r="J28" s="23">
        <v>286</v>
      </c>
      <c r="K28" s="23">
        <v>39</v>
      </c>
      <c r="L28" s="23">
        <v>86</v>
      </c>
      <c r="M28" s="24">
        <f t="shared" si="0"/>
        <v>2.86E-2</v>
      </c>
      <c r="N28" s="25">
        <f t="shared" si="1"/>
        <v>3.9</v>
      </c>
      <c r="O28" s="26">
        <f t="shared" si="2"/>
        <v>0.30069930069930068</v>
      </c>
      <c r="P28" s="23">
        <v>1762</v>
      </c>
      <c r="Q28" s="27">
        <f t="shared" si="3"/>
        <v>157.86455782394191</v>
      </c>
      <c r="R28" s="19" t="s">
        <v>370</v>
      </c>
      <c r="S28" s="19" t="s">
        <v>371</v>
      </c>
      <c r="T28" s="19" t="s">
        <v>370</v>
      </c>
    </row>
    <row r="29" spans="1:20" ht="43.5" customHeight="1" x14ac:dyDescent="0.25">
      <c r="A29" s="2" t="s">
        <v>430</v>
      </c>
      <c r="B29" s="2">
        <v>53</v>
      </c>
      <c r="C29" s="11" t="s">
        <v>444</v>
      </c>
      <c r="D29" s="12">
        <v>46107</v>
      </c>
      <c r="E29" s="2" t="s">
        <v>445</v>
      </c>
      <c r="F29" s="2" t="s">
        <v>433</v>
      </c>
      <c r="G29" s="2" t="s">
        <v>446</v>
      </c>
      <c r="H29" s="13">
        <v>3.1220601851851852E-3</v>
      </c>
      <c r="I29" s="14">
        <v>10000</v>
      </c>
      <c r="J29" s="14">
        <v>232</v>
      </c>
      <c r="K29" s="14">
        <v>11</v>
      </c>
      <c r="L29" s="14">
        <v>15</v>
      </c>
      <c r="M29" s="15">
        <f t="shared" si="0"/>
        <v>2.3199999999999998E-2</v>
      </c>
      <c r="N29" s="16">
        <f t="shared" si="1"/>
        <v>1.1000000000000001</v>
      </c>
      <c r="O29" s="17">
        <f t="shared" si="2"/>
        <v>6.4655172413793108E-2</v>
      </c>
      <c r="P29" s="14">
        <v>727</v>
      </c>
      <c r="Q29" s="18">
        <f t="shared" si="3"/>
        <v>161.70768055874785</v>
      </c>
      <c r="R29" s="2" t="s">
        <v>370</v>
      </c>
      <c r="S29" s="2" t="s">
        <v>371</v>
      </c>
      <c r="T29" s="2" t="s">
        <v>370</v>
      </c>
    </row>
    <row r="30" spans="1:20" ht="43.5" customHeight="1" x14ac:dyDescent="0.25">
      <c r="A30" s="19" t="s">
        <v>430</v>
      </c>
      <c r="B30" s="19">
        <v>28</v>
      </c>
      <c r="C30" s="20" t="s">
        <v>447</v>
      </c>
      <c r="D30" s="21">
        <v>46228</v>
      </c>
      <c r="E30" s="19" t="s">
        <v>448</v>
      </c>
      <c r="F30" s="19" t="s">
        <v>433</v>
      </c>
      <c r="G30" s="19" t="s">
        <v>449</v>
      </c>
      <c r="H30" s="22">
        <v>1.123449074074074E-3</v>
      </c>
      <c r="I30" s="23">
        <v>10000</v>
      </c>
      <c r="J30" s="23">
        <v>321</v>
      </c>
      <c r="K30" s="23">
        <v>21</v>
      </c>
      <c r="L30" s="23">
        <v>25</v>
      </c>
      <c r="M30" s="24">
        <f t="shared" si="0"/>
        <v>3.2099999999999997E-2</v>
      </c>
      <c r="N30" s="25">
        <f t="shared" si="1"/>
        <v>2.1</v>
      </c>
      <c r="O30" s="26">
        <f t="shared" si="2"/>
        <v>7.7881619937694699E-2</v>
      </c>
      <c r="P30" s="23">
        <v>392</v>
      </c>
      <c r="Q30" s="27">
        <f t="shared" si="3"/>
        <v>242.30935652030578</v>
      </c>
      <c r="R30" s="19" t="s">
        <v>370</v>
      </c>
      <c r="S30" s="19" t="s">
        <v>370</v>
      </c>
      <c r="T30" s="19" t="s">
        <v>370</v>
      </c>
    </row>
    <row r="31" spans="1:20" ht="43.5" customHeight="1" x14ac:dyDescent="0.25">
      <c r="A31" s="2" t="s">
        <v>430</v>
      </c>
      <c r="B31" s="2">
        <v>16</v>
      </c>
      <c r="C31" s="11" t="s">
        <v>450</v>
      </c>
      <c r="D31" s="12">
        <v>46261</v>
      </c>
      <c r="E31" s="2" t="s">
        <v>451</v>
      </c>
      <c r="F31" s="2" t="s">
        <v>433</v>
      </c>
      <c r="G31" s="2" t="s">
        <v>452</v>
      </c>
      <c r="H31" s="13">
        <v>1.7449884259259261E-3</v>
      </c>
      <c r="I31" s="14">
        <v>10000</v>
      </c>
      <c r="J31" s="14">
        <v>149</v>
      </c>
      <c r="K31" s="14">
        <v>9</v>
      </c>
      <c r="L31" s="14">
        <v>7</v>
      </c>
      <c r="M31" s="15">
        <f t="shared" si="0"/>
        <v>1.49E-2</v>
      </c>
      <c r="N31" s="16">
        <f t="shared" si="1"/>
        <v>0.9</v>
      </c>
      <c r="O31" s="17">
        <f t="shared" si="2"/>
        <v>4.6979865771812082E-2</v>
      </c>
      <c r="P31" s="14">
        <v>412</v>
      </c>
      <c r="Q31" s="18">
        <f t="shared" si="3"/>
        <v>163.96160963606093</v>
      </c>
      <c r="R31" s="2" t="s">
        <v>371</v>
      </c>
      <c r="S31" s="2" t="s">
        <v>370</v>
      </c>
      <c r="T31" s="2" t="s">
        <v>370</v>
      </c>
    </row>
    <row r="32" spans="1:20" ht="43.5" customHeight="1" x14ac:dyDescent="0.25">
      <c r="A32" s="19" t="s">
        <v>430</v>
      </c>
      <c r="B32" s="19">
        <v>83</v>
      </c>
      <c r="C32" s="20" t="s">
        <v>453</v>
      </c>
      <c r="D32" s="21">
        <v>46055</v>
      </c>
      <c r="E32" s="19" t="s">
        <v>454</v>
      </c>
      <c r="F32" s="19" t="s">
        <v>433</v>
      </c>
      <c r="G32" s="19" t="s">
        <v>455</v>
      </c>
      <c r="H32" s="22">
        <v>1.3956018518518521E-3</v>
      </c>
      <c r="I32" s="23">
        <v>9600</v>
      </c>
      <c r="J32" s="23">
        <v>126</v>
      </c>
      <c r="K32" s="23">
        <v>6</v>
      </c>
      <c r="L32" s="23">
        <v>9</v>
      </c>
      <c r="M32" s="24">
        <f t="shared" si="0"/>
        <v>1.3125E-2</v>
      </c>
      <c r="N32" s="25">
        <f t="shared" si="1"/>
        <v>0.625</v>
      </c>
      <c r="O32" s="26">
        <f t="shared" si="2"/>
        <v>7.1428571428571425E-2</v>
      </c>
      <c r="P32" s="23">
        <v>403</v>
      </c>
      <c r="Q32" s="27">
        <f t="shared" si="3"/>
        <v>200.53076795488471</v>
      </c>
      <c r="R32" s="19" t="s">
        <v>371</v>
      </c>
      <c r="S32" s="19" t="s">
        <v>371</v>
      </c>
      <c r="T32" s="19" t="s">
        <v>370</v>
      </c>
    </row>
    <row r="33" spans="1:20" ht="43.5" customHeight="1" x14ac:dyDescent="0.25">
      <c r="A33" s="2" t="s">
        <v>430</v>
      </c>
      <c r="B33" s="2">
        <v>18</v>
      </c>
      <c r="C33" s="11" t="s">
        <v>456</v>
      </c>
      <c r="D33" s="12">
        <v>46256</v>
      </c>
      <c r="E33" s="2" t="s">
        <v>457</v>
      </c>
      <c r="F33" s="2" t="s">
        <v>433</v>
      </c>
      <c r="G33" s="2" t="s">
        <v>458</v>
      </c>
      <c r="H33" s="13">
        <v>4.2874189814814806E-3</v>
      </c>
      <c r="I33" s="14">
        <v>6400</v>
      </c>
      <c r="J33" s="14">
        <v>231</v>
      </c>
      <c r="K33" s="14">
        <v>16</v>
      </c>
      <c r="L33" s="14">
        <v>6</v>
      </c>
      <c r="M33" s="15">
        <f t="shared" si="0"/>
        <v>3.6093750000000001E-2</v>
      </c>
      <c r="N33" s="16">
        <f t="shared" si="1"/>
        <v>2.5</v>
      </c>
      <c r="O33" s="17">
        <f t="shared" si="2"/>
        <v>2.5974025974025976E-2</v>
      </c>
      <c r="P33" s="14">
        <v>1112</v>
      </c>
      <c r="Q33" s="18">
        <f t="shared" si="3"/>
        <v>180.11354279991255</v>
      </c>
      <c r="R33" s="2" t="s">
        <v>370</v>
      </c>
      <c r="S33" s="2" t="s">
        <v>371</v>
      </c>
      <c r="T33" s="2" t="s">
        <v>371</v>
      </c>
    </row>
    <row r="34" spans="1:20" ht="43.5" customHeight="1" x14ac:dyDescent="0.25">
      <c r="A34" s="19" t="s">
        <v>430</v>
      </c>
      <c r="B34" s="19">
        <v>82</v>
      </c>
      <c r="C34" s="20" t="s">
        <v>459</v>
      </c>
      <c r="D34" s="21">
        <v>46056</v>
      </c>
      <c r="E34" s="19" t="s">
        <v>460</v>
      </c>
      <c r="F34" s="19" t="s">
        <v>433</v>
      </c>
      <c r="G34" s="19" t="s">
        <v>461</v>
      </c>
      <c r="H34" s="22">
        <v>6.2858796296296295E-4</v>
      </c>
      <c r="I34" s="23">
        <v>6200</v>
      </c>
      <c r="J34" s="23">
        <v>92</v>
      </c>
      <c r="K34" s="23">
        <v>6</v>
      </c>
      <c r="L34" s="23">
        <v>5</v>
      </c>
      <c r="M34" s="24">
        <f t="shared" si="0"/>
        <v>1.4838709677419355E-2</v>
      </c>
      <c r="N34" s="25">
        <f t="shared" si="1"/>
        <v>0.967741935483871</v>
      </c>
      <c r="O34" s="26">
        <f t="shared" si="2"/>
        <v>5.434782608695652E-2</v>
      </c>
      <c r="P34" s="23">
        <v>172</v>
      </c>
      <c r="Q34" s="27">
        <f t="shared" si="3"/>
        <v>190.0202540968514</v>
      </c>
      <c r="R34" s="19" t="s">
        <v>371</v>
      </c>
      <c r="S34" s="19" t="s">
        <v>370</v>
      </c>
      <c r="T34" s="19" t="s">
        <v>370</v>
      </c>
    </row>
    <row r="36" spans="1:20" ht="21.95" customHeight="1" x14ac:dyDescent="0.25">
      <c r="A36" s="38" t="s">
        <v>462</v>
      </c>
      <c r="B36" s="39"/>
      <c r="C36" s="39"/>
      <c r="D36" s="39"/>
      <c r="E36" s="39"/>
      <c r="F36" s="39"/>
      <c r="G36" s="39"/>
      <c r="H36" s="39"/>
      <c r="I36" s="39"/>
      <c r="J36" s="39"/>
      <c r="K36" s="39"/>
      <c r="L36" s="39"/>
      <c r="M36" s="39"/>
      <c r="N36" s="39"/>
      <c r="O36" s="39"/>
      <c r="P36" s="39"/>
      <c r="Q36" s="39"/>
      <c r="R36" s="39"/>
      <c r="S36" s="39"/>
      <c r="T36" s="39"/>
    </row>
    <row r="37" spans="1:20" ht="30" customHeight="1" x14ac:dyDescent="0.25">
      <c r="A37" s="1" t="s">
        <v>34</v>
      </c>
      <c r="B37" s="1"/>
      <c r="C37" s="1"/>
      <c r="D37" s="1"/>
      <c r="E37" s="1" t="s">
        <v>4</v>
      </c>
      <c r="F37" s="1"/>
      <c r="G37" s="1"/>
      <c r="H37" s="1" t="s">
        <v>354</v>
      </c>
      <c r="I37" s="1" t="s">
        <v>355</v>
      </c>
      <c r="J37" s="1" t="s">
        <v>92</v>
      </c>
      <c r="K37" s="1" t="s">
        <v>356</v>
      </c>
      <c r="L37" s="1" t="s">
        <v>357</v>
      </c>
      <c r="M37" s="1" t="s">
        <v>358</v>
      </c>
      <c r="N37" s="1" t="s">
        <v>463</v>
      </c>
      <c r="O37" s="1" t="s">
        <v>360</v>
      </c>
      <c r="P37" s="1" t="s">
        <v>464</v>
      </c>
      <c r="Q37" s="1" t="s">
        <v>362</v>
      </c>
      <c r="R37" s="1" t="s">
        <v>465</v>
      </c>
      <c r="S37" s="1" t="s">
        <v>466</v>
      </c>
      <c r="T37" s="1" t="s">
        <v>467</v>
      </c>
    </row>
    <row r="38" spans="1:20" x14ac:dyDescent="0.25">
      <c r="A38" s="28" t="s">
        <v>468</v>
      </c>
      <c r="B38" s="29"/>
      <c r="C38" s="29"/>
      <c r="D38" s="29"/>
      <c r="E38" s="30" t="s">
        <v>469</v>
      </c>
      <c r="F38" s="29"/>
      <c r="G38" s="29"/>
      <c r="H38" s="31">
        <f t="shared" ref="H38:Q38" si="4">MEDIAN(H5:H24)</f>
        <v>2.1419733796296295E-3</v>
      </c>
      <c r="I38" s="32">
        <f t="shared" si="4"/>
        <v>217000</v>
      </c>
      <c r="J38" s="32">
        <f t="shared" si="4"/>
        <v>5150</v>
      </c>
      <c r="K38" s="32">
        <f t="shared" si="4"/>
        <v>236.5</v>
      </c>
      <c r="L38" s="32">
        <f t="shared" si="4"/>
        <v>593.5</v>
      </c>
      <c r="M38" s="33">
        <f t="shared" si="4"/>
        <v>2.0368396114664771E-2</v>
      </c>
      <c r="N38" s="34">
        <f t="shared" si="4"/>
        <v>1.1915404040404041</v>
      </c>
      <c r="O38" s="35">
        <f t="shared" si="4"/>
        <v>0.11526960784313725</v>
      </c>
      <c r="P38" s="32">
        <f t="shared" si="4"/>
        <v>519</v>
      </c>
      <c r="Q38" s="36">
        <f t="shared" si="4"/>
        <v>168.00258288765482</v>
      </c>
      <c r="R38" s="30" t="str">
        <f>COUNTIF(R5:R24,"Có")&amp;"/20"</f>
        <v>11/20</v>
      </c>
      <c r="S38" s="30" t="str">
        <f>COUNTIF(S5:S24,"Có")&amp;"/20"</f>
        <v>13/20</v>
      </c>
      <c r="T38" s="30" t="str">
        <f>COUNTIF(T5:T24,"Có")&amp;"/20"</f>
        <v>4/20</v>
      </c>
    </row>
    <row r="39" spans="1:20" x14ac:dyDescent="0.25">
      <c r="A39" s="28" t="s">
        <v>470</v>
      </c>
      <c r="B39" s="29"/>
      <c r="C39" s="29"/>
      <c r="D39" s="29"/>
      <c r="E39" s="30" t="s">
        <v>469</v>
      </c>
      <c r="F39" s="29"/>
      <c r="G39" s="29"/>
      <c r="H39" s="31">
        <f t="shared" ref="H39:Q39" si="5">MEDIAN(H25:H34)</f>
        <v>2.4335243055555555E-3</v>
      </c>
      <c r="I39" s="32">
        <f t="shared" si="5"/>
        <v>10000</v>
      </c>
      <c r="J39" s="32">
        <f t="shared" si="5"/>
        <v>217</v>
      </c>
      <c r="K39" s="32">
        <f t="shared" si="5"/>
        <v>10</v>
      </c>
      <c r="L39" s="32">
        <f t="shared" si="5"/>
        <v>13</v>
      </c>
      <c r="M39" s="33">
        <f t="shared" si="5"/>
        <v>2.0003787878787878E-2</v>
      </c>
      <c r="N39" s="34">
        <f t="shared" si="5"/>
        <v>1.0338709677419355</v>
      </c>
      <c r="O39" s="35">
        <f t="shared" si="5"/>
        <v>6.43472906403941E-2</v>
      </c>
      <c r="P39" s="32">
        <f t="shared" si="5"/>
        <v>569.5</v>
      </c>
      <c r="Q39" s="36">
        <f t="shared" si="5"/>
        <v>177.01329313908673</v>
      </c>
      <c r="R39" s="30" t="str">
        <f>COUNTIF(R25:R34,"Có")&amp;"/10"</f>
        <v>3/10</v>
      </c>
      <c r="S39" s="30" t="str">
        <f>COUNTIF(S25:S34,"Có")&amp;"/10"</f>
        <v>5/10</v>
      </c>
      <c r="T39" s="30" t="str">
        <f>COUNTIF(T25:T34,"Có")&amp;"/10"</f>
        <v>1/10</v>
      </c>
    </row>
    <row r="41" spans="1:20" ht="27.95" customHeight="1" x14ac:dyDescent="0.25">
      <c r="A41" s="41" t="s">
        <v>471</v>
      </c>
      <c r="B41" s="39"/>
      <c r="C41" s="39"/>
      <c r="D41" s="39"/>
      <c r="E41" s="39"/>
      <c r="F41" s="39"/>
      <c r="G41" s="39"/>
      <c r="H41" s="39"/>
      <c r="I41" s="39"/>
      <c r="J41" s="39"/>
      <c r="K41" s="39"/>
      <c r="L41" s="39"/>
      <c r="M41" s="39"/>
      <c r="N41" s="39"/>
      <c r="O41" s="39"/>
      <c r="P41" s="39"/>
      <c r="Q41" s="39"/>
      <c r="R41" s="39"/>
      <c r="S41" s="39"/>
      <c r="T41" s="39"/>
    </row>
    <row r="42" spans="1:20" ht="27.95" customHeight="1" x14ac:dyDescent="0.25">
      <c r="A42" s="41" t="s">
        <v>472</v>
      </c>
      <c r="B42" s="39"/>
      <c r="C42" s="39"/>
      <c r="D42" s="39"/>
      <c r="E42" s="39"/>
      <c r="F42" s="39"/>
      <c r="G42" s="39"/>
      <c r="H42" s="39"/>
      <c r="I42" s="39"/>
      <c r="J42" s="39"/>
      <c r="K42" s="39"/>
      <c r="L42" s="39"/>
      <c r="M42" s="39"/>
      <c r="N42" s="39"/>
      <c r="O42" s="39"/>
      <c r="P42" s="39"/>
      <c r="Q42" s="39"/>
      <c r="R42" s="39"/>
      <c r="S42" s="39"/>
      <c r="T42" s="39"/>
    </row>
    <row r="43" spans="1:20" ht="27.95" customHeight="1" x14ac:dyDescent="0.25">
      <c r="A43" s="41" t="s">
        <v>473</v>
      </c>
      <c r="B43" s="39"/>
      <c r="C43" s="39"/>
      <c r="D43" s="39"/>
      <c r="E43" s="39"/>
      <c r="F43" s="39"/>
      <c r="G43" s="39"/>
      <c r="H43" s="39"/>
      <c r="I43" s="39"/>
      <c r="J43" s="39"/>
      <c r="K43" s="39"/>
      <c r="L43" s="39"/>
      <c r="M43" s="39"/>
      <c r="N43" s="39"/>
      <c r="O43" s="39"/>
      <c r="P43" s="39"/>
      <c r="Q43" s="39"/>
      <c r="R43" s="39"/>
      <c r="S43" s="39"/>
      <c r="T43" s="39"/>
    </row>
    <row r="44" spans="1:20" ht="27.95" customHeight="1" x14ac:dyDescent="0.25">
      <c r="A44" s="41" t="s">
        <v>474</v>
      </c>
      <c r="B44" s="39"/>
      <c r="C44" s="39"/>
      <c r="D44" s="39"/>
      <c r="E44" s="39"/>
      <c r="F44" s="39"/>
      <c r="G44" s="39"/>
      <c r="H44" s="39"/>
      <c r="I44" s="39"/>
      <c r="J44" s="39"/>
      <c r="K44" s="39"/>
      <c r="L44" s="39"/>
      <c r="M44" s="39"/>
      <c r="N44" s="39"/>
      <c r="O44" s="39"/>
      <c r="P44" s="39"/>
      <c r="Q44" s="39"/>
      <c r="R44" s="39"/>
      <c r="S44" s="39"/>
      <c r="T44" s="39"/>
    </row>
  </sheetData>
  <autoFilter ref="A4:T34" xr:uid="{00000000-0009-0000-0000-000001000000}"/>
  <mergeCells count="7">
    <mergeCell ref="A44:T44"/>
    <mergeCell ref="A1:T1"/>
    <mergeCell ref="A43:T43"/>
    <mergeCell ref="A2:T2"/>
    <mergeCell ref="A42:T42"/>
    <mergeCell ref="A41:T41"/>
    <mergeCell ref="A36:T36"/>
  </mergeCells>
  <hyperlinks>
    <hyperlink ref="C5" r:id="rId1" xr:uid="{00000000-0004-0000-0100-000000000000}"/>
    <hyperlink ref="C6" r:id="rId2" xr:uid="{00000000-0004-0000-0100-000001000000}"/>
    <hyperlink ref="C7" r:id="rId3" xr:uid="{00000000-0004-0000-0100-000002000000}"/>
    <hyperlink ref="C8" r:id="rId4" xr:uid="{00000000-0004-0000-0100-000003000000}"/>
    <hyperlink ref="C9" r:id="rId5" xr:uid="{00000000-0004-0000-0100-000004000000}"/>
    <hyperlink ref="C10" r:id="rId6" xr:uid="{00000000-0004-0000-0100-000005000000}"/>
    <hyperlink ref="C11" r:id="rId7" xr:uid="{00000000-0004-0000-0100-000006000000}"/>
    <hyperlink ref="C12" r:id="rId8" xr:uid="{00000000-0004-0000-0100-000007000000}"/>
    <hyperlink ref="C13" r:id="rId9" xr:uid="{00000000-0004-0000-0100-000008000000}"/>
    <hyperlink ref="C14" r:id="rId10" xr:uid="{00000000-0004-0000-0100-000009000000}"/>
    <hyperlink ref="C15" r:id="rId11" xr:uid="{00000000-0004-0000-0100-00000A000000}"/>
    <hyperlink ref="C16" r:id="rId12" xr:uid="{00000000-0004-0000-0100-00000B000000}"/>
    <hyperlink ref="C17" r:id="rId13" xr:uid="{00000000-0004-0000-0100-00000C000000}"/>
    <hyperlink ref="C18" r:id="rId14" xr:uid="{00000000-0004-0000-0100-00000D000000}"/>
    <hyperlink ref="C19" r:id="rId15" xr:uid="{00000000-0004-0000-0100-00000E000000}"/>
    <hyperlink ref="C20" r:id="rId16" xr:uid="{00000000-0004-0000-0100-00000F000000}"/>
    <hyperlink ref="C21" r:id="rId17" xr:uid="{00000000-0004-0000-0100-000010000000}"/>
    <hyperlink ref="C22" r:id="rId18" xr:uid="{00000000-0004-0000-0100-000011000000}"/>
    <hyperlink ref="C23" r:id="rId19" xr:uid="{00000000-0004-0000-0100-000012000000}"/>
    <hyperlink ref="C24" r:id="rId20" xr:uid="{00000000-0004-0000-0100-000013000000}"/>
    <hyperlink ref="C25" r:id="rId21" xr:uid="{00000000-0004-0000-0100-000014000000}"/>
    <hyperlink ref="C26" r:id="rId22" xr:uid="{00000000-0004-0000-0100-000015000000}"/>
    <hyperlink ref="C27" r:id="rId23" xr:uid="{00000000-0004-0000-0100-000016000000}"/>
    <hyperlink ref="C28" r:id="rId24" xr:uid="{00000000-0004-0000-0100-000017000000}"/>
    <hyperlink ref="C29" r:id="rId25" xr:uid="{00000000-0004-0000-0100-000018000000}"/>
    <hyperlink ref="C30" r:id="rId26" xr:uid="{00000000-0004-0000-0100-000019000000}"/>
    <hyperlink ref="C31" r:id="rId27" xr:uid="{00000000-0004-0000-0100-00001A000000}"/>
    <hyperlink ref="C32" r:id="rId28" xr:uid="{00000000-0004-0000-0100-00001B000000}"/>
    <hyperlink ref="C33" r:id="rId29" xr:uid="{00000000-0004-0000-0100-00001C000000}"/>
    <hyperlink ref="C34" r:id="rId30" xr:uid="{00000000-0004-0000-0100-00001D000000}"/>
  </hyperlinks>
  <pageMargins left="0.75" right="0.75" top="1" bottom="1"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BS LÊ XUÂN HẢI</vt:lpstr>
      <vt:lpstr>Số liệu Lê Xuân Hải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2026-10-08T02:22:24Z</dcterms:created>
  <dcterms:modified xsi:type="dcterms:W3CDTF">2026-10-08T02:22:30Z</dcterms:modified>
</cp:coreProperties>
</file>